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Projects" sheetId="3" state="visible" r:id="rId5"/>
    <sheet name="Tasks" sheetId="4" state="visible" r:id="rId6"/>
    <sheet name="Team" sheetId="5" state="visible" r:id="rId7"/>
    <sheet name="Releases" sheetId="6" state="visible" r:id="rId8"/>
    <sheet name="Lists" sheetId="7" state="visible" r:id="rId9"/>
  </sheets>
  <definedNames>
    <definedName function="false" hidden="true" localSheetId="2" name="_xlnm._FilterDatabase" vbProcedure="false">Projects!$A$4:$Q$204</definedName>
    <definedName function="false" hidden="true" localSheetId="5" name="_xlnm._FilterDatabase" vbProcedure="false">Releases!$A$4:$J$504</definedName>
    <definedName function="false" hidden="true" localSheetId="3" name="_xlnm._FilterDatabase" vbProcedure="false">Tasks!$A$4:$P$504</definedName>
    <definedName function="false" hidden="true" localSheetId="4" name="_xlnm._FilterDatabase" vbProcedure="false">Team!$A$4:$J$54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4" authorId="0">
      <text>
        <r>
          <rPr>
            <sz val="10"/>
            <rFont val="Arial"/>
            <family val="2"/>
          </rPr>
          <t xml:space="preserve">Done / (Total - Cancelled). Blank until the project has at least one task.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Due - today. Negative = overdue. Blank once Done or Cancelled.</t>
        </r>
      </text>
    </comment>
    <comment ref="M4" authorId="0">
      <text>
        <r>
          <rPr>
            <sz val="10"/>
            <rFont val="Arial"/>
            <family val="2"/>
          </rPr>
          <t xml:space="preserve">Shows OVERDUE when Due is in the past and status is not Done/Cancelled.</t>
        </r>
      </text>
    </comment>
  </commentList>
</comments>
</file>

<file path=xl/sharedStrings.xml><?xml version="1.0" encoding="utf-8"?>
<sst xmlns="http://schemas.openxmlformats.org/spreadsheetml/2006/main" count="408" uniqueCount="243">
  <si>
    <t xml:space="preserve">ABK Integration Team Tracker</t>
  </si>
  <si>
    <t xml:space="preserve">ABK Integration Team tracker: projects, tasks (yours and the team's), team workload and a release log. Single source for the team's IBM ACE / MQ work.</t>
  </si>
  <si>
    <t xml:space="preserve">How it fits together</t>
  </si>
  <si>
    <t xml:space="preserve">Projects</t>
  </si>
  <si>
    <t xml:space="preserve">One row per project. Task counts and % complete are calculated from the Tasks sheet by Project ID.</t>
  </si>
  <si>
    <t xml:space="preserve">Tasks</t>
  </si>
  <si>
    <t xml:space="preserve">One row per task, yours and the team's. Assigned To = the name in Lists!K4 marks a task as yours. Filter column F to see one person's list.</t>
  </si>
  <si>
    <t xml:space="preserve">Team</t>
  </si>
  <si>
    <t xml:space="preserve">One row per person. Open / blocked / overdue counts are calculated from Tasks. Add people here first so they appear in the Assigned To dropdown.</t>
  </si>
  <si>
    <t xml:space="preserve">Releases</t>
  </si>
  <si>
    <t xml:space="preserve">Append-only log of which BAR / version went to which environment. No formulas.</t>
  </si>
  <si>
    <t xml:space="preserve">Dashboard</t>
  </si>
  <si>
    <t xml:space="preserve">All formulas. Nothing to type. Shows projects by status and RAG, tasks by status split mine vs team, attention signals, team workload, project health.</t>
  </si>
  <si>
    <t xml:space="preserve">Lists</t>
  </si>
  <si>
    <t xml:space="preserve">Dropdown vocab and two settings: your name (K4) and the 'due soon' window in days (K5).</t>
  </si>
  <si>
    <t xml:space="preserve">Colour legend</t>
  </si>
  <si>
    <t xml:space="preserve">White cells</t>
  </si>
  <si>
    <t xml:space="preserve">Type here. Dropdowns are enforced; edit the Lists sheet to add values.</t>
  </si>
  <si>
    <t xml:space="preserve">Grey cells</t>
  </si>
  <si>
    <t xml:space="preserve">Formulas. Do not overwrite. If you paste over one, copy it down again from a neighbouring row.</t>
  </si>
  <si>
    <t xml:space="preserve">Yellow cells (Lists)</t>
  </si>
  <si>
    <t xml:space="preserve">Settings you are expected to change.</t>
  </si>
  <si>
    <t xml:space="preserve">Red / amber / green</t>
  </si>
  <si>
    <t xml:space="preserve">Automatic: Overdue, Blocked, RAG, Critical priority, due-soon highlights.</t>
  </si>
  <si>
    <t xml:space="preserve">Daily routine</t>
  </si>
  <si>
    <t xml:space="preserve">1</t>
  </si>
  <si>
    <t xml:space="preserve">Open Dashboard. Anything red in 'Needs attention' is today's list.</t>
  </si>
  <si>
    <t xml:space="preserve">2</t>
  </si>
  <si>
    <t xml:space="preserve">Update Status, Last Update and Blocker on the Tasks sheet. Set Completed when a task is Done.</t>
  </si>
  <si>
    <t xml:space="preserve">3</t>
  </si>
  <si>
    <t xml:space="preserve">New task: add a row at the bottom of Tasks; give it the next TSK number and a Project ID from the dropdown. Formulas in C, L, M are pre-filled to row 504.</t>
  </si>
  <si>
    <t xml:space="preserve">4</t>
  </si>
  <si>
    <t xml:space="preserve">Weekly: update RAG and Next Milestone on Projects.</t>
  </si>
  <si>
    <t xml:space="preserve">Limits and assumptions</t>
  </si>
  <si>
    <t xml:space="preserve">Capacity</t>
  </si>
  <si>
    <t xml:space="preserve">Formulas cover 200 projects, 500 tasks, 50 team members, 500 releases. Copy the formula rows down to extend.</t>
  </si>
  <si>
    <t xml:space="preserve">Sample data</t>
  </si>
  <si>
    <t xml:space="preserve">Rows marked 'Sample row - replace' on Projects, Tasks, Team, Releases are placeholders showing the expected format. Delete them before real use.</t>
  </si>
  <si>
    <t xml:space="preserve">Dates</t>
  </si>
  <si>
    <t xml:space="preserve">Days Left and Overdue use TODAY(); they change every time the file is opened. Excel needs automatic calculation on (Formulas &gt; Calculation Options).</t>
  </si>
  <si>
    <t xml:space="preserve">Ownership</t>
  </si>
  <si>
    <t xml:space="preserve">Assumes this workbook is the only tracker. If the team logs work in Jira / ServiceNow / ADO, keep only projects and milestones here or it will drift.</t>
  </si>
  <si>
    <t xml:space="preserve">Effort</t>
  </si>
  <si>
    <t xml:space="preserve">No estimated / actual hours by design. Add columns to Tasks if you need effort reporting.</t>
  </si>
  <si>
    <t xml:space="preserve">Sharing</t>
  </si>
  <si>
    <t xml:space="preserve">No sheet protection, so it can sit on SharePoint / OneDrive and be updated by the team. Grey columns are the ones to keep hands off.</t>
  </si>
  <si>
    <t xml:space="preserve">ABK Integration Team Dashboard</t>
  </si>
  <si>
    <t xml:space="preserve">Everything on this sheet is calculated. Update Projects, Tasks and Team; this refreshes on recalc (F9 in Excel if calc is manual).</t>
  </si>
  <si>
    <t xml:space="preserve">As of</t>
  </si>
  <si>
    <t xml:space="preserve">Tracking for</t>
  </si>
  <si>
    <t xml:space="preserve">Projects by status</t>
  </si>
  <si>
    <t xml:space="preserve">Tasks by status</t>
  </si>
  <si>
    <t xml:space="preserve">Status</t>
  </si>
  <si>
    <t xml:space="preserve">Count</t>
  </si>
  <si>
    <t xml:space="preserve">Green</t>
  </si>
  <si>
    <t xml:space="preserve">Amber</t>
  </si>
  <si>
    <t xml:space="preserve">Red</t>
  </si>
  <si>
    <t xml:space="preserve">Mine</t>
  </si>
  <si>
    <t xml:space="preserve">Total</t>
  </si>
  <si>
    <t xml:space="preserve">Overdue</t>
  </si>
  <si>
    <t xml:space="preserve">Initiation</t>
  </si>
  <si>
    <t xml:space="preserve">Not Started</t>
  </si>
  <si>
    <t xml:space="preserve">In Progress</t>
  </si>
  <si>
    <t xml:space="preserve">On Hold</t>
  </si>
  <si>
    <t xml:space="preserve">UAT</t>
  </si>
  <si>
    <t xml:space="preserve">Blocked</t>
  </si>
  <si>
    <t xml:space="preserve">Go-Live</t>
  </si>
  <si>
    <t xml:space="preserve">Done</t>
  </si>
  <si>
    <t xml:space="preserve">Closed</t>
  </si>
  <si>
    <t xml:space="preserve">Cancelled</t>
  </si>
  <si>
    <t xml:space="preserve">Needs attention</t>
  </si>
  <si>
    <t xml:space="preserve">Team workload</t>
  </si>
  <si>
    <t xml:space="preserve">Signal</t>
  </si>
  <si>
    <t xml:space="preserve">Name</t>
  </si>
  <si>
    <t xml:space="preserve">Open</t>
  </si>
  <si>
    <t xml:space="preserve">Overdue tasks</t>
  </si>
  <si>
    <t xml:space="preserve">Due within window (Lists!K5 days)</t>
  </si>
  <si>
    <t xml:space="preserve">Blocked tasks</t>
  </si>
  <si>
    <t xml:space="preserve">Open Critical / High tasks</t>
  </si>
  <si>
    <t xml:space="preserve">Open tasks with no due date</t>
  </si>
  <si>
    <t xml:space="preserve">Open tasks with no owner</t>
  </si>
  <si>
    <t xml:space="preserve">Shows the first 10 rows of the Team sheet; see Team for the full list.</t>
  </si>
  <si>
    <t xml:space="preserve">Project health (first 10 projects; see Projects sheet for all)</t>
  </si>
  <si>
    <t xml:space="preserve">Project ID</t>
  </si>
  <si>
    <t xml:space="preserve">RAG</t>
  </si>
  <si>
    <t xml:space="preserve">Project name</t>
  </si>
  <si>
    <t xml:space="preserve">Lead</t>
  </si>
  <si>
    <t xml:space="preserve">Target Go-Live</t>
  </si>
  <si>
    <t xml:space="preserve">Days to Go-Live</t>
  </si>
  <si>
    <t xml:space="preserve">% Complete</t>
  </si>
  <si>
    <t xml:space="preserve">One row per project. Type in white cells; dropdowns come from the Lists sheet. Grey columns (K-O) are calculated from the Tasks sheet - do not overwrite.</t>
  </si>
  <si>
    <t xml:space="preserve">Project Name</t>
  </si>
  <si>
    <t xml:space="preserve">Business Unit / Client</t>
  </si>
  <si>
    <t xml:space="preserve">Type</t>
  </si>
  <si>
    <t xml:space="preserve">Priority</t>
  </si>
  <si>
    <t xml:space="preserve">Start</t>
  </si>
  <si>
    <t xml:space="preserve">Total Tasks</t>
  </si>
  <si>
    <t xml:space="preserve">Next Milestone</t>
  </si>
  <si>
    <t xml:space="preserve">Notes / Risks</t>
  </si>
  <si>
    <t xml:space="preserve">PRJ-001</t>
  </si>
  <si>
    <t xml:space="preserve">SAP to Salesforce order sync (ACE 12)</t>
  </si>
  <si>
    <t xml:space="preserve">Sales Ops</t>
  </si>
  <si>
    <t xml:space="preserve">ACE Integration</t>
  </si>
  <si>
    <t xml:space="preserve">High</t>
  </si>
  <si>
    <t xml:space="preserve">Phani</t>
  </si>
  <si>
    <t xml:space="preserve">SIT sign-off</t>
  </si>
  <si>
    <t xml:space="preserve">Sample row - replace. Salesforce sandbox refresh slipped one week.</t>
  </si>
  <si>
    <t xml:space="preserve">PRJ-002</t>
  </si>
  <si>
    <t xml:space="preserve">ACE 12.0.12 fixpack rollout on AIX 7.3</t>
  </si>
  <si>
    <t xml:space="preserve">Platform</t>
  </si>
  <si>
    <t xml:space="preserve">Upgrade / Fixpack</t>
  </si>
  <si>
    <t xml:space="preserve">Critical</t>
  </si>
  <si>
    <t xml:space="preserve">PROD change window</t>
  </si>
  <si>
    <t xml:space="preserve">Sample row - replace. CAB approval pending.</t>
  </si>
  <si>
    <t xml:space="preserve">PRJ-003</t>
  </si>
  <si>
    <t xml:space="preserve">MQ cluster consolidation (QM03/QM04)</t>
  </si>
  <si>
    <t xml:space="preserve">MQ</t>
  </si>
  <si>
    <t xml:space="preserve">Medium</t>
  </si>
  <si>
    <t xml:space="preserve">Suresh Babu</t>
  </si>
  <si>
    <t xml:space="preserve">Design review</t>
  </si>
  <si>
    <t xml:space="preserve">Sample row - replace.</t>
  </si>
  <si>
    <t xml:space="preserve">PRJ-004</t>
  </si>
  <si>
    <t xml:space="preserve">Payments REST API via NGINX gateway</t>
  </si>
  <si>
    <t xml:space="preserve">Finance</t>
  </si>
  <si>
    <t xml:space="preserve">API Gateway</t>
  </si>
  <si>
    <t xml:space="preserve">Security review</t>
  </si>
  <si>
    <t xml:space="preserve">Sample row - replace. Blocked on client cert issuance from InfoSec.</t>
  </si>
  <si>
    <t xml:space="preserve">Tasks (mine and the team's)</t>
  </si>
  <si>
    <t xml:space="preserve">One row per task. Set Assigned To = your name (Lists!K4) for your own tasks; the Dashboard splits them from the team's. Grey columns C, L, M are formulas - do not overwrite. Filter by Assigned To to see one person's list.</t>
  </si>
  <si>
    <t xml:space="preserve">Task ID</t>
  </si>
  <si>
    <t xml:space="preserve">Task</t>
  </si>
  <si>
    <t xml:space="preserve">Category</t>
  </si>
  <si>
    <t xml:space="preserve">Assigned To</t>
  </si>
  <si>
    <t xml:space="preserve">Created</t>
  </si>
  <si>
    <t xml:space="preserve">Due</t>
  </si>
  <si>
    <t xml:space="preserve">Completed</t>
  </si>
  <si>
    <t xml:space="preserve">Days Left</t>
  </si>
  <si>
    <t xml:space="preserve">Overdue?</t>
  </si>
  <si>
    <t xml:space="preserve">Blocker / Dependency</t>
  </si>
  <si>
    <t xml:space="preserve">Last Update</t>
  </si>
  <si>
    <t xml:space="preserve">Notes</t>
  </si>
  <si>
    <t xml:space="preserve">TSK-001</t>
  </si>
  <si>
    <t xml:space="preserve">Review ESQL mapping for order header/line items</t>
  </si>
  <si>
    <t xml:space="preserve">Review</t>
  </si>
  <si>
    <t xml:space="preserve">Sample row - replace</t>
  </si>
  <si>
    <t xml:space="preserve">TSK-002</t>
  </si>
  <si>
    <t xml:space="preserve">Build SAP IDoc DFDL model and ACE compute node</t>
  </si>
  <si>
    <t xml:space="preserve">Build</t>
  </si>
  <si>
    <t xml:space="preserve">Ravi Kumar</t>
  </si>
  <si>
    <t xml:space="preserve">TSK-003</t>
  </si>
  <si>
    <t xml:space="preserve">Salesforce REST callout with OAuth policy</t>
  </si>
  <si>
    <t xml:space="preserve">Priya Nair</t>
  </si>
  <si>
    <t xml:space="preserve">Waiting on Salesforce sandbox refresh</t>
  </si>
  <si>
    <t xml:space="preserve">TSK-004</t>
  </si>
  <si>
    <t xml:space="preserve">SIT test cases for order sync happy path + retries</t>
  </si>
  <si>
    <t xml:space="preserve">Testing</t>
  </si>
  <si>
    <t xml:space="preserve">Anita Rao</t>
  </si>
  <si>
    <t xml:space="preserve">TSK-005</t>
  </si>
  <si>
    <t xml:space="preserve">Backup nodes and BARs before fixpack apply</t>
  </si>
  <si>
    <t xml:space="preserve">Deployment</t>
  </si>
  <si>
    <t xml:space="preserve">TSK-006</t>
  </si>
  <si>
    <t xml:space="preserve">Apply 12.0.12 fixpack on UAT integration nodes</t>
  </si>
  <si>
    <t xml:space="preserve">TSK-007</t>
  </si>
  <si>
    <t xml:space="preserve">Regression run on UAT after fixpack</t>
  </si>
  <si>
    <t xml:space="preserve">TSK-008</t>
  </si>
  <si>
    <t xml:space="preserve">Raise CAB change for PROD fixpack window</t>
  </si>
  <si>
    <t xml:space="preserve">Governance</t>
  </si>
  <si>
    <t xml:space="preserve">TSK-009</t>
  </si>
  <si>
    <t xml:space="preserve">Current-state MQ topology and channel inventory</t>
  </si>
  <si>
    <t xml:space="preserve">Design</t>
  </si>
  <si>
    <t xml:space="preserve">TSK-010</t>
  </si>
  <si>
    <t xml:space="preserve">Consolidation design review with platform team</t>
  </si>
  <si>
    <t xml:space="preserve">Meeting</t>
  </si>
  <si>
    <t xml:space="preserve">TSK-011</t>
  </si>
  <si>
    <t xml:space="preserve">Chase InfoSec for gateway client certificates</t>
  </si>
  <si>
    <t xml:space="preserve">InfoSec ticket SEC-4412 open 3 weeks</t>
  </si>
  <si>
    <t xml:space="preserve">Escalate to InfoSec manager if no reply this week</t>
  </si>
  <si>
    <t xml:space="preserve">TSK-012</t>
  </si>
  <si>
    <t xml:space="preserve">NGINX upstream config for ACE HTTPS listener</t>
  </si>
  <si>
    <t xml:space="preserve">Depends on TSK-011</t>
  </si>
  <si>
    <t xml:space="preserve">TSK-013</t>
  </si>
  <si>
    <t xml:space="preserve">Monthly architecture governance forum - prep slides</t>
  </si>
  <si>
    <t xml:space="preserve">Non-project task: leave Project ID blank</t>
  </si>
  <si>
    <t xml:space="preserve">Type in white cells (A-E). Grey columns are formulas pulled from the Tasks sheet - do not overwrite. Row 5 is you; keep your name identical to Lists!K4.</t>
  </si>
  <si>
    <t xml:space="preserve">Role</t>
  </si>
  <si>
    <t xml:space="preserve">Primary Skills</t>
  </si>
  <si>
    <t xml:space="preserve">Location / Shift</t>
  </si>
  <si>
    <t xml:space="preserve">Open Tasks</t>
  </si>
  <si>
    <t xml:space="preserve">Done (all time)</t>
  </si>
  <si>
    <t xml:space="preserve">Integration Architect</t>
  </si>
  <si>
    <t xml:space="preserve">ACE 12, MQ, API design, governance</t>
  </si>
  <si>
    <t xml:space="preserve">Onsite</t>
  </si>
  <si>
    <t xml:space="preserve">Me</t>
  </si>
  <si>
    <t xml:space="preserve">Senior ACE Developer</t>
  </si>
  <si>
    <t xml:space="preserve">ESQL, JavaCompute, DFDL</t>
  </si>
  <si>
    <t xml:space="preserve">Offshore</t>
  </si>
  <si>
    <t xml:space="preserve">ACE Developer</t>
  </si>
  <si>
    <t xml:space="preserve">ESQL, REST APIs, XMLNSC</t>
  </si>
  <si>
    <t xml:space="preserve">MQ Administrator</t>
  </si>
  <si>
    <t xml:space="preserve">MQ clusters, AIX, TLS</t>
  </si>
  <si>
    <t xml:space="preserve">Test Lead</t>
  </si>
  <si>
    <t xml:space="preserve">SIT/UAT, SoapUI, Postman</t>
  </si>
  <si>
    <t xml:space="preserve">Release Log</t>
  </si>
  <si>
    <t xml:space="preserve">Which BAR / version is in which environment. Append a row per deployment; newest at the bottom. Filter by Application + Environment to see what is live.</t>
  </si>
  <si>
    <t xml:space="preserve">Date</t>
  </si>
  <si>
    <t xml:space="preserve">Application / BAR</t>
  </si>
  <si>
    <t xml:space="preserve">Version</t>
  </si>
  <si>
    <t xml:space="preserve">Environment</t>
  </si>
  <si>
    <t xml:space="preserve">Node / Integration Server</t>
  </si>
  <si>
    <t xml:space="preserve">Deployed By</t>
  </si>
  <si>
    <t xml:space="preserve">Change Ref</t>
  </si>
  <si>
    <t xml:space="preserve">Result</t>
  </si>
  <si>
    <t xml:space="preserve">SAP_SFDC_OrderSync.bar</t>
  </si>
  <si>
    <t xml:space="preserve">1.3.0</t>
  </si>
  <si>
    <t xml:space="preserve">SIT</t>
  </si>
  <si>
    <t xml:space="preserve">ACENODE01 / SIT_IS01</t>
  </si>
  <si>
    <t xml:space="preserve">CHG0041220</t>
  </si>
  <si>
    <t xml:space="preserve">Success</t>
  </si>
  <si>
    <t xml:space="preserve">ACE fixpack 12.0.12.0</t>
  </si>
  <si>
    <t xml:space="preserve">12.0.12.0</t>
  </si>
  <si>
    <t xml:space="preserve">ACENODE02 / all servers</t>
  </si>
  <si>
    <t xml:space="preserve">CHG0041305</t>
  </si>
  <si>
    <t xml:space="preserve">1.3.1</t>
  </si>
  <si>
    <t xml:space="preserve">CHG0041331</t>
  </si>
  <si>
    <t xml:space="preserve">Failed</t>
  </si>
  <si>
    <t xml:space="preserve">Sample row - replace. BIP2087E on deploy, policy project missing; redeployed 1.3.1 same day</t>
  </si>
  <si>
    <t xml:space="preserve">Dropdown values. Edit these to change the vocabulary used across the workbook. Do not insert columns.</t>
  </si>
  <si>
    <t xml:space="preserve">Task Status</t>
  </si>
  <si>
    <t xml:space="preserve">Project Status</t>
  </si>
  <si>
    <t xml:space="preserve">Project Type</t>
  </si>
  <si>
    <t xml:space="preserve">Task Category</t>
  </si>
  <si>
    <t xml:space="preserve">Deploy Result</t>
  </si>
  <si>
    <t xml:space="preserve">Setting</t>
  </si>
  <si>
    <t xml:space="preserve">Value</t>
  </si>
  <si>
    <t xml:space="preserve">DEV</t>
  </si>
  <si>
    <t xml:space="preserve">My name (as used in Tasks &gt; Assigned To)</t>
  </si>
  <si>
    <t xml:space="preserve">Dashboard 'due soon' window (days)</t>
  </si>
  <si>
    <t xml:space="preserve">Rolled Back</t>
  </si>
  <si>
    <t xml:space="preserve">Low</t>
  </si>
  <si>
    <t xml:space="preserve">PRE-PROD</t>
  </si>
  <si>
    <t xml:space="preserve">BAU Support</t>
  </si>
  <si>
    <t xml:space="preserve">PROD</t>
  </si>
  <si>
    <t xml:space="preserve">Support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</si>
</sst>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General"/>
    <numFmt numFmtId="167" formatCode="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ED7D31"/>
        <sz val="10"/>
      </font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1F3864"/>
        <sz val="10"/>
      </font>
      <fill>
        <patternFill>
          <bgColor rgb="FFDDEBF7"/>
        </patternFill>
      </fill>
    </dxf>
    <dxf>
      <font>
        <name val="Arial"/>
        <charset val="1"/>
        <family val="0"/>
        <strike val="1"/>
        <color rgb="FF808080"/>
        <sz val="10"/>
      </font>
    </dxf>
    <dxf>
      <fill>
        <patternFill>
          <b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/>
      <c r="B11" s="6"/>
    </row>
    <row r="12" customFormat="false" ht="15" hidden="false" customHeight="false" outlineLevel="0" collapsed="false">
      <c r="A12" s="3" t="s">
        <v>15</v>
      </c>
      <c r="B12" s="4"/>
    </row>
    <row r="13" customFormat="false" ht="15" hidden="false" customHeight="false" outlineLevel="0" collapsed="false">
      <c r="A13" s="7" t="s">
        <v>16</v>
      </c>
      <c r="B13" s="6" t="s">
        <v>17</v>
      </c>
    </row>
    <row r="14" customFormat="false" ht="15" hidden="false" customHeight="false" outlineLevel="0" collapsed="false">
      <c r="A14" s="8" t="s">
        <v>18</v>
      </c>
      <c r="B14" s="6" t="s">
        <v>19</v>
      </c>
    </row>
    <row r="15" customFormat="false" ht="15" hidden="false" customHeight="false" outlineLevel="0" collapsed="false">
      <c r="A15" s="9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/>
      <c r="B17" s="6"/>
    </row>
    <row r="18" customFormat="false" ht="15" hidden="false" customHeight="false" outlineLevel="0" collapsed="false">
      <c r="A18" s="3" t="s">
        <v>24</v>
      </c>
      <c r="B18" s="4"/>
    </row>
    <row r="19" customFormat="false" ht="15" hidden="false" customHeight="false" outlineLevel="0" collapsed="false">
      <c r="A19" s="5" t="s">
        <v>25</v>
      </c>
      <c r="B19" s="6" t="s">
        <v>26</v>
      </c>
    </row>
    <row r="20" customFormat="false" ht="15" hidden="false" customHeight="false" outlineLevel="0" collapsed="false">
      <c r="A20" s="5" t="s">
        <v>27</v>
      </c>
      <c r="B20" s="6" t="s">
        <v>28</v>
      </c>
    </row>
    <row r="21" customFormat="false" ht="15" hidden="false" customHeight="false" outlineLevel="0" collapsed="false">
      <c r="A21" s="5" t="s">
        <v>29</v>
      </c>
      <c r="B21" s="6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5"/>
      <c r="B23" s="6"/>
    </row>
    <row r="24" customFormat="false" ht="15" hidden="false" customHeight="false" outlineLevel="0" collapsed="false">
      <c r="A24" s="3" t="s">
        <v>33</v>
      </c>
      <c r="B24" s="4"/>
    </row>
    <row r="25" customFormat="false" ht="15" hidden="false" customHeight="false" outlineLevel="0" collapsed="false">
      <c r="A25" s="5" t="s">
        <v>34</v>
      </c>
      <c r="B25" s="6" t="s">
        <v>35</v>
      </c>
    </row>
    <row r="26" customFormat="false" ht="15" hidden="false" customHeight="false" outlineLevel="0" collapsed="false">
      <c r="A26" s="5" t="s">
        <v>36</v>
      </c>
      <c r="B26" s="6" t="s">
        <v>37</v>
      </c>
    </row>
    <row r="27" customFormat="false" ht="15" hidden="false" customHeight="false" outlineLevel="0" collapsed="false">
      <c r="A27" s="5" t="s">
        <v>38</v>
      </c>
      <c r="B27" s="6" t="s">
        <v>39</v>
      </c>
    </row>
    <row r="28" customFormat="false" ht="15" hidden="false" customHeight="false" outlineLevel="0" collapsed="false">
      <c r="A28" s="5" t="s">
        <v>40</v>
      </c>
      <c r="B28" s="6" t="s">
        <v>41</v>
      </c>
    </row>
    <row r="29" customFormat="false" ht="15" hidden="false" customHeight="false" outlineLevel="0" collapsed="false">
      <c r="A29" s="5" t="s">
        <v>42</v>
      </c>
      <c r="B29" s="6" t="s">
        <v>43</v>
      </c>
    </row>
    <row r="30" customFormat="false" ht="15" hidden="false" customHeight="false" outlineLevel="0" collapsed="false">
      <c r="A30" s="5" t="s">
        <v>44</v>
      </c>
      <c r="B30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12" min="8" style="0" width="1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3" customFormat="false" ht="15" hidden="false" customHeight="false" outlineLevel="0" collapsed="false">
      <c r="A3" s="10" t="s">
        <v>48</v>
      </c>
      <c r="B3" s="11" t="n">
        <f aca="true">TODAY()</f>
        <v>46279</v>
      </c>
      <c r="D3" s="10" t="s">
        <v>49</v>
      </c>
      <c r="E3" s="10" t="str">
        <f aca="false">Lists!$K$4</f>
        <v>Phani</v>
      </c>
    </row>
    <row r="5" customFormat="false" ht="15" hidden="false" customHeight="false" outlineLevel="0" collapsed="false">
      <c r="A5" s="12" t="s">
        <v>50</v>
      </c>
      <c r="B5" s="13"/>
      <c r="C5" s="13"/>
      <c r="D5" s="13"/>
      <c r="E5" s="13"/>
      <c r="G5" s="12" t="s">
        <v>51</v>
      </c>
      <c r="H5" s="13"/>
      <c r="I5" s="13"/>
      <c r="J5" s="13"/>
      <c r="K5" s="13"/>
    </row>
    <row r="6" customFormat="false" ht="15" hidden="false" customHeight="false" outlineLevel="0" collapsed="false">
      <c r="A6" s="14" t="s">
        <v>52</v>
      </c>
      <c r="B6" s="14" t="s">
        <v>53</v>
      </c>
      <c r="C6" s="14" t="s">
        <v>54</v>
      </c>
      <c r="D6" s="14" t="s">
        <v>55</v>
      </c>
      <c r="E6" s="14" t="s">
        <v>56</v>
      </c>
      <c r="G6" s="14" t="s">
        <v>52</v>
      </c>
      <c r="H6" s="14" t="s">
        <v>57</v>
      </c>
      <c r="I6" s="14" t="s">
        <v>7</v>
      </c>
      <c r="J6" s="14" t="s">
        <v>58</v>
      </c>
      <c r="K6" s="14" t="s">
        <v>59</v>
      </c>
    </row>
    <row r="7" customFormat="false" ht="15" hidden="false" customHeight="false" outlineLevel="0" collapsed="false">
      <c r="A7" s="15" t="s">
        <v>60</v>
      </c>
      <c r="B7" s="16" t="n">
        <f aca="false">COUNTIF(Projects!$F$5:$F$204,$A7)</f>
        <v>1</v>
      </c>
      <c r="C7" s="16" t="n">
        <f aca="false">COUNTIFS(Projects!$F$5:$F$204,$A7,Projects!$J$5:$J$204,"Green")</f>
        <v>1</v>
      </c>
      <c r="D7" s="16" t="n">
        <f aca="false">COUNTIFS(Projects!$F$5:$F$204,$A7,Projects!$J$5:$J$204,"Amber")</f>
        <v>0</v>
      </c>
      <c r="E7" s="16" t="n">
        <f aca="false">COUNTIFS(Projects!$F$5:$F$204,$A7,Projects!$J$5:$J$204,"Red")</f>
        <v>0</v>
      </c>
      <c r="G7" s="15" t="s">
        <v>61</v>
      </c>
      <c r="H7" s="16" t="n">
        <f aca="false">COUNTIFS(Tasks!$H$5:$H$504,$G7,Tasks!$F$5:$F$504,Lists!$K$4)</f>
        <v>3</v>
      </c>
      <c r="I7" s="16" t="n">
        <f aca="false">COUNTIF(Tasks!$H$5:$H$504,$G7)-H7</f>
        <v>0</v>
      </c>
      <c r="J7" s="16" t="n">
        <f aca="false">H7+I7</f>
        <v>3</v>
      </c>
      <c r="K7" s="16" t="n">
        <f aca="false">COUNTIFS(Tasks!$H$5:$H$504,$G7,Tasks!$M$5:$M$504,"OVERDUE")</f>
        <v>0</v>
      </c>
    </row>
    <row r="8" customFormat="false" ht="15" hidden="false" customHeight="false" outlineLevel="0" collapsed="false">
      <c r="A8" s="15" t="s">
        <v>62</v>
      </c>
      <c r="B8" s="16" t="n">
        <f aca="false">COUNTIF(Projects!$F$5:$F$204,$A8)</f>
        <v>1</v>
      </c>
      <c r="C8" s="16" t="n">
        <f aca="false">COUNTIFS(Projects!$F$5:$F$204,$A8,Projects!$J$5:$J$204,"Green")</f>
        <v>0</v>
      </c>
      <c r="D8" s="16" t="n">
        <f aca="false">COUNTIFS(Projects!$F$5:$F$204,$A8,Projects!$J$5:$J$204,"Amber")</f>
        <v>1</v>
      </c>
      <c r="E8" s="16" t="n">
        <f aca="false">COUNTIFS(Projects!$F$5:$F$204,$A8,Projects!$J$5:$J$204,"Red")</f>
        <v>0</v>
      </c>
      <c r="G8" s="15" t="s">
        <v>62</v>
      </c>
      <c r="H8" s="16" t="n">
        <f aca="false">COUNTIFS(Tasks!$H$5:$H$504,$G8,Tasks!$F$5:$F$504,Lists!$K$4)</f>
        <v>1</v>
      </c>
      <c r="I8" s="16" t="n">
        <f aca="false">COUNTIF(Tasks!$H$5:$H$504,$G8)-H8</f>
        <v>3</v>
      </c>
      <c r="J8" s="16" t="n">
        <f aca="false">H8+I8</f>
        <v>4</v>
      </c>
      <c r="K8" s="16" t="n">
        <f aca="false">COUNTIFS(Tasks!$H$5:$H$504,$G8,Tasks!$M$5:$M$504,"OVERDUE")</f>
        <v>0</v>
      </c>
    </row>
    <row r="9" customFormat="false" ht="15" hidden="false" customHeight="false" outlineLevel="0" collapsed="false">
      <c r="A9" s="15" t="s">
        <v>63</v>
      </c>
      <c r="B9" s="16" t="n">
        <f aca="false">COUNTIF(Projects!$F$5:$F$204,$A9)</f>
        <v>1</v>
      </c>
      <c r="C9" s="16" t="n">
        <f aca="false">COUNTIFS(Projects!$F$5:$F$204,$A9,Projects!$J$5:$J$204,"Green")</f>
        <v>0</v>
      </c>
      <c r="D9" s="16" t="n">
        <f aca="false">COUNTIFS(Projects!$F$5:$F$204,$A9,Projects!$J$5:$J$204,"Amber")</f>
        <v>0</v>
      </c>
      <c r="E9" s="16" t="n">
        <f aca="false">COUNTIFS(Projects!$F$5:$F$204,$A9,Projects!$J$5:$J$204,"Red")</f>
        <v>1</v>
      </c>
      <c r="G9" s="15" t="s">
        <v>63</v>
      </c>
      <c r="H9" s="16" t="n">
        <f aca="false">COUNTIFS(Tasks!$H$5:$H$504,$G9,Tasks!$F$5:$F$504,Lists!$K$4)</f>
        <v>0</v>
      </c>
      <c r="I9" s="16" t="n">
        <f aca="false">COUNTIF(Tasks!$H$5:$H$504,$G9)-H9</f>
        <v>1</v>
      </c>
      <c r="J9" s="16" t="n">
        <f aca="false">H9+I9</f>
        <v>1</v>
      </c>
      <c r="K9" s="16" t="n">
        <f aca="false">COUNTIFS(Tasks!$H$5:$H$504,$G9,Tasks!$M$5:$M$504,"OVERDUE")</f>
        <v>0</v>
      </c>
    </row>
    <row r="10" customFormat="false" ht="15" hidden="false" customHeight="false" outlineLevel="0" collapsed="false">
      <c r="A10" s="15" t="s">
        <v>64</v>
      </c>
      <c r="B10" s="16" t="n">
        <f aca="false">COUNTIF(Projects!$F$5:$F$204,$A10)</f>
        <v>1</v>
      </c>
      <c r="C10" s="16" t="n">
        <f aca="false">COUNTIFS(Projects!$F$5:$F$204,$A10,Projects!$J$5:$J$204,"Green")</f>
        <v>1</v>
      </c>
      <c r="D10" s="16" t="n">
        <f aca="false">COUNTIFS(Projects!$F$5:$F$204,$A10,Projects!$J$5:$J$204,"Amber")</f>
        <v>0</v>
      </c>
      <c r="E10" s="16" t="n">
        <f aca="false">COUNTIFS(Projects!$F$5:$F$204,$A10,Projects!$J$5:$J$204,"Red")</f>
        <v>0</v>
      </c>
      <c r="G10" s="15" t="s">
        <v>65</v>
      </c>
      <c r="H10" s="16" t="n">
        <f aca="false">COUNTIFS(Tasks!$H$5:$H$504,$G10,Tasks!$F$5:$F$504,Lists!$K$4)</f>
        <v>1</v>
      </c>
      <c r="I10" s="16" t="n">
        <f aca="false">COUNTIF(Tasks!$H$5:$H$504,$G10)-H10</f>
        <v>1</v>
      </c>
      <c r="J10" s="16" t="n">
        <f aca="false">H10+I10</f>
        <v>2</v>
      </c>
      <c r="K10" s="16" t="n">
        <f aca="false">COUNTIFS(Tasks!$H$5:$H$504,$G10,Tasks!$M$5:$M$504,"OVERDUE")</f>
        <v>2</v>
      </c>
    </row>
    <row r="11" customFormat="false" ht="15" hidden="false" customHeight="false" outlineLevel="0" collapsed="false">
      <c r="A11" s="15" t="s">
        <v>66</v>
      </c>
      <c r="B11" s="16" t="n">
        <f aca="false">COUNTIF(Projects!$F$5:$F$204,$A11)</f>
        <v>0</v>
      </c>
      <c r="C11" s="16" t="n">
        <f aca="false">COUNTIFS(Projects!$F$5:$F$204,$A11,Projects!$J$5:$J$204,"Green")</f>
        <v>0</v>
      </c>
      <c r="D11" s="16" t="n">
        <f aca="false">COUNTIFS(Projects!$F$5:$F$204,$A11,Projects!$J$5:$J$204,"Amber")</f>
        <v>0</v>
      </c>
      <c r="E11" s="16" t="n">
        <f aca="false">COUNTIFS(Projects!$F$5:$F$204,$A11,Projects!$J$5:$J$204,"Red")</f>
        <v>0</v>
      </c>
      <c r="G11" s="15" t="s">
        <v>67</v>
      </c>
      <c r="H11" s="16" t="n">
        <f aca="false">COUNTIFS(Tasks!$H$5:$H$504,$G11,Tasks!$F$5:$F$504,Lists!$K$4)</f>
        <v>0</v>
      </c>
      <c r="I11" s="16" t="n">
        <f aca="false">COUNTIF(Tasks!$H$5:$H$504,$G11)-H11</f>
        <v>3</v>
      </c>
      <c r="J11" s="16" t="n">
        <f aca="false">H11+I11</f>
        <v>3</v>
      </c>
      <c r="K11" s="16" t="n">
        <f aca="false">COUNTIFS(Tasks!$H$5:$H$504,$G11,Tasks!$M$5:$M$504,"OVERDUE")</f>
        <v>0</v>
      </c>
    </row>
    <row r="12" customFormat="false" ht="15" hidden="false" customHeight="false" outlineLevel="0" collapsed="false">
      <c r="A12" s="15" t="s">
        <v>68</v>
      </c>
      <c r="B12" s="16" t="n">
        <f aca="false">COUNTIF(Projects!$F$5:$F$204,$A12)</f>
        <v>0</v>
      </c>
      <c r="C12" s="16" t="n">
        <f aca="false">COUNTIFS(Projects!$F$5:$F$204,$A12,Projects!$J$5:$J$204,"Green")</f>
        <v>0</v>
      </c>
      <c r="D12" s="16" t="n">
        <f aca="false">COUNTIFS(Projects!$F$5:$F$204,$A12,Projects!$J$5:$J$204,"Amber")</f>
        <v>0</v>
      </c>
      <c r="E12" s="16" t="n">
        <f aca="false">COUNTIFS(Projects!$F$5:$F$204,$A12,Projects!$J$5:$J$204,"Red")</f>
        <v>0</v>
      </c>
      <c r="G12" s="15" t="s">
        <v>69</v>
      </c>
      <c r="H12" s="16" t="n">
        <f aca="false">COUNTIFS(Tasks!$H$5:$H$504,$G12,Tasks!$F$5:$F$504,Lists!$K$4)</f>
        <v>0</v>
      </c>
      <c r="I12" s="16" t="n">
        <f aca="false">COUNTIF(Tasks!$H$5:$H$504,$G12)-H12</f>
        <v>0</v>
      </c>
      <c r="J12" s="16" t="n">
        <f aca="false">H12+I12</f>
        <v>0</v>
      </c>
      <c r="K12" s="16" t="n">
        <f aca="false">COUNTIFS(Tasks!$H$5:$H$504,$G12,Tasks!$M$5:$M$504,"OVERDUE")</f>
        <v>0</v>
      </c>
    </row>
    <row r="13" customFormat="false" ht="15" hidden="false" customHeight="false" outlineLevel="0" collapsed="false">
      <c r="A13" s="17" t="s">
        <v>58</v>
      </c>
      <c r="B13" s="18" t="n">
        <f aca="false">COUNTA(Projects!$A$5:$A$204)</f>
        <v>4</v>
      </c>
      <c r="C13" s="18" t="n">
        <f aca="false">COUNTIF(Projects!$J$5:$J$204,"Green")</f>
        <v>2</v>
      </c>
      <c r="D13" s="18" t="n">
        <f aca="false">COUNTIF(Projects!$J$5:$J$204,"Amber")</f>
        <v>1</v>
      </c>
      <c r="E13" s="18" t="n">
        <f aca="false">COUNTIF(Projects!$J$5:$J$204,"Red")</f>
        <v>1</v>
      </c>
      <c r="G13" s="17" t="s">
        <v>58</v>
      </c>
      <c r="H13" s="18" t="n">
        <f aca="false">SUM(H7:H12)</f>
        <v>5</v>
      </c>
      <c r="I13" s="18" t="n">
        <f aca="false">SUM(I7:I12)</f>
        <v>8</v>
      </c>
      <c r="J13" s="18" t="n">
        <f aca="false">SUM(J7:J12)</f>
        <v>13</v>
      </c>
      <c r="K13" s="18" t="n">
        <f aca="false">SUM(K7:K12)</f>
        <v>2</v>
      </c>
    </row>
    <row r="15" customFormat="false" ht="15" hidden="false" customHeight="false" outlineLevel="0" collapsed="false">
      <c r="A15" s="12" t="s">
        <v>70</v>
      </c>
      <c r="B15" s="13"/>
      <c r="C15" s="13"/>
      <c r="D15" s="13"/>
      <c r="E15" s="13"/>
      <c r="G15" s="12" t="s">
        <v>71</v>
      </c>
      <c r="H15" s="13"/>
      <c r="I15" s="13"/>
      <c r="J15" s="13"/>
      <c r="K15" s="13"/>
    </row>
    <row r="16" customFormat="false" ht="15" hidden="false" customHeight="false" outlineLevel="0" collapsed="false">
      <c r="A16" s="14" t="s">
        <v>72</v>
      </c>
      <c r="B16" s="14" t="s">
        <v>57</v>
      </c>
      <c r="C16" s="14" t="s">
        <v>7</v>
      </c>
      <c r="D16" s="14" t="s">
        <v>58</v>
      </c>
      <c r="E16" s="14"/>
      <c r="G16" s="14" t="s">
        <v>73</v>
      </c>
      <c r="H16" s="14" t="s">
        <v>74</v>
      </c>
      <c r="I16" s="14" t="s">
        <v>62</v>
      </c>
      <c r="J16" s="14" t="s">
        <v>65</v>
      </c>
      <c r="K16" s="14" t="s">
        <v>59</v>
      </c>
    </row>
    <row r="17" customFormat="false" ht="15" hidden="false" customHeight="false" outlineLevel="0" collapsed="false">
      <c r="A17" s="15" t="s">
        <v>75</v>
      </c>
      <c r="B17" s="16" t="n">
        <f aca="false">COUNTIFS(Tasks!$M$5:$M$504,"OVERDUE",Tasks!$F$5:$F$504,Lists!$K$4)</f>
        <v>1</v>
      </c>
      <c r="C17" s="16" t="n">
        <f aca="false">COUNTIF(Tasks!$M$5:$M$504,"OVERDUE")-B17</f>
        <v>1</v>
      </c>
      <c r="D17" s="18" t="n">
        <f aca="false">SUM(B17:C17)</f>
        <v>2</v>
      </c>
      <c r="E17" s="16"/>
      <c r="G17" s="15" t="str">
        <f aca="false">IF(Team!$A5="","",Team!$A5)</f>
        <v>Phani</v>
      </c>
      <c r="H17" s="16" t="n">
        <f aca="false">IF(Team!$A5="","",Team!$F5)</f>
        <v>5</v>
      </c>
      <c r="I17" s="16" t="n">
        <f aca="false">IF(Team!$A5="","",Team!$G5)</f>
        <v>1</v>
      </c>
      <c r="J17" s="16" t="n">
        <f aca="false">IF(Team!$A5="","",Team!$H5)</f>
        <v>1</v>
      </c>
      <c r="K17" s="16" t="n">
        <f aca="false">IF(Team!$A5="","",Team!$I5)</f>
        <v>1</v>
      </c>
    </row>
    <row r="18" customFormat="false" ht="15" hidden="false" customHeight="false" outlineLevel="0" collapsed="false">
      <c r="A18" s="15" t="s">
        <v>76</v>
      </c>
      <c r="B18" s="16" t="n">
        <f aca="true">COUNTIFS(Tasks!$H$5:$H$504,"&lt;&gt;Done",Tasks!$H$5:$H$504,"&lt;&gt;Cancelled",Tasks!$J$5:$J$504,"&gt;="&amp;TODAY(),Tasks!$J$5:$J$504,"&lt;="&amp;TODAY()+Lists!$K$5,Tasks!$F$5:$F$504,Lists!$K$4)</f>
        <v>3</v>
      </c>
      <c r="C18" s="16" t="n">
        <f aca="true">COUNTIFS(Tasks!$H$5:$H$504,"&lt;&gt;Done",Tasks!$H$5:$H$504,"&lt;&gt;Cancelled",Tasks!$J$5:$J$504,"&gt;="&amp;TODAY(),Tasks!$J$5:$J$504,"&lt;="&amp;TODAY()+Lists!$K$5)-B18</f>
        <v>1</v>
      </c>
      <c r="D18" s="18" t="n">
        <f aca="false">SUM(B18:C18)</f>
        <v>4</v>
      </c>
      <c r="E18" s="16"/>
      <c r="G18" s="15" t="str">
        <f aca="false">IF(Team!$A6="","",Team!$A6)</f>
        <v>Ravi Kumar</v>
      </c>
      <c r="H18" s="16" t="n">
        <f aca="false">IF(Team!$A6="","",Team!$F6)</f>
        <v>0</v>
      </c>
      <c r="I18" s="16" t="n">
        <f aca="false">IF(Team!$A6="","",Team!$G6)</f>
        <v>0</v>
      </c>
      <c r="J18" s="16" t="n">
        <f aca="false">IF(Team!$A6="","",Team!$H6)</f>
        <v>0</v>
      </c>
      <c r="K18" s="16" t="n">
        <f aca="false">IF(Team!$A6="","",Team!$I6)</f>
        <v>0</v>
      </c>
    </row>
    <row r="19" customFormat="false" ht="15" hidden="false" customHeight="false" outlineLevel="0" collapsed="false">
      <c r="A19" s="15" t="s">
        <v>77</v>
      </c>
      <c r="B19" s="16" t="n">
        <f aca="false">COUNTIFS(Tasks!$H$5:$H$504,"Blocked",Tasks!$F$5:$F$504,Lists!$K$4)</f>
        <v>1</v>
      </c>
      <c r="C19" s="16" t="n">
        <f aca="false">COUNTIF(Tasks!$H$5:$H$504,"Blocked")-B19</f>
        <v>1</v>
      </c>
      <c r="D19" s="18" t="n">
        <f aca="false">SUM(B19:C19)</f>
        <v>2</v>
      </c>
      <c r="E19" s="16"/>
      <c r="G19" s="15" t="str">
        <f aca="false">IF(Team!$A7="","",Team!$A7)</f>
        <v>Priya Nair</v>
      </c>
      <c r="H19" s="16" t="n">
        <f aca="false">IF(Team!$A7="","",Team!$F7)</f>
        <v>2</v>
      </c>
      <c r="I19" s="16" t="n">
        <f aca="false">IF(Team!$A7="","",Team!$G7)</f>
        <v>0</v>
      </c>
      <c r="J19" s="16" t="n">
        <f aca="false">IF(Team!$A7="","",Team!$H7)</f>
        <v>1</v>
      </c>
      <c r="K19" s="16" t="n">
        <f aca="false">IF(Team!$A7="","",Team!$I7)</f>
        <v>1</v>
      </c>
    </row>
    <row r="20" customFormat="false" ht="15" hidden="false" customHeight="false" outlineLevel="0" collapsed="false">
      <c r="A20" s="15" t="s">
        <v>78</v>
      </c>
      <c r="B20" s="16" t="n">
        <f aca="false">COUNTIFS(Tasks!$H$5:$H$504,"&lt;&gt;Done",Tasks!$H$5:$H$504,"&lt;&gt;Cancelled",Tasks!$G$5:$G$504,"Critical",Tasks!$F$5:$F$504,Lists!$K$4)+COUNTIFS(Tasks!$H$5:$H$504,"&lt;&gt;Done",Tasks!$H$5:$H$504,"&lt;&gt;Cancelled",Tasks!$G$5:$G$504,"High",Tasks!$F$5:$F$504,Lists!$K$4)</f>
        <v>3</v>
      </c>
      <c r="C20" s="16" t="n">
        <f aca="false">COUNTIFS(Tasks!$H$5:$H$504,"&lt;&gt;Done",Tasks!$H$5:$H$504,"&lt;&gt;Cancelled",Tasks!$G$5:$G$504,"Critical")+COUNTIFS(Tasks!$H$5:$H$504,"&lt;&gt;Done",Tasks!$H$5:$H$504,"&lt;&gt;Cancelled",Tasks!$G$5:$G$504,"High")-B20</f>
        <v>2</v>
      </c>
      <c r="D20" s="18" t="n">
        <f aca="false">SUM(B20:C20)</f>
        <v>5</v>
      </c>
      <c r="E20" s="16"/>
      <c r="G20" s="15" t="str">
        <f aca="false">IF(Team!$A8="","",Team!$A8)</f>
        <v>Suresh Babu</v>
      </c>
      <c r="H20" s="16" t="n">
        <f aca="false">IF(Team!$A8="","",Team!$F8)</f>
        <v>1</v>
      </c>
      <c r="I20" s="16" t="n">
        <f aca="false">IF(Team!$A8="","",Team!$G8)</f>
        <v>1</v>
      </c>
      <c r="J20" s="16" t="n">
        <f aca="false">IF(Team!$A8="","",Team!$H8)</f>
        <v>0</v>
      </c>
      <c r="K20" s="16" t="n">
        <f aca="false">IF(Team!$A8="","",Team!$I8)</f>
        <v>0</v>
      </c>
    </row>
    <row r="21" customFormat="false" ht="15" hidden="false" customHeight="false" outlineLevel="0" collapsed="false">
      <c r="A21" s="15" t="s">
        <v>79</v>
      </c>
      <c r="B21" s="16" t="n">
        <f aca="false">COUNTIFS(Tasks!$H$5:$H$504,"&lt;&gt;Done",Tasks!$H$5:$H$504,"&lt;&gt;Cancelled",Tasks!$J$5:$J$504,"",Tasks!$F$5:$F$504,Lists!$K$4,Tasks!$A$5:$A$504,"&lt;&gt;")</f>
        <v>0</v>
      </c>
      <c r="C21" s="16" t="n">
        <f aca="false">COUNTIFS(Tasks!$H$5:$H$504,"&lt;&gt;Done",Tasks!$H$5:$H$504,"&lt;&gt;Cancelled",Tasks!$J$5:$J$504,"",Tasks!$A$5:$A$504,"&lt;&gt;")-B21</f>
        <v>0</v>
      </c>
      <c r="D21" s="18" t="n">
        <f aca="false">SUM(B21:C21)</f>
        <v>0</v>
      </c>
      <c r="E21" s="16"/>
      <c r="G21" s="15" t="str">
        <f aca="false">IF(Team!$A9="","",Team!$A9)</f>
        <v>Anita Rao</v>
      </c>
      <c r="H21" s="16" t="n">
        <f aca="false">IF(Team!$A9="","",Team!$F9)</f>
        <v>2</v>
      </c>
      <c r="I21" s="16" t="n">
        <f aca="false">IF(Team!$A9="","",Team!$G9)</f>
        <v>2</v>
      </c>
      <c r="J21" s="16" t="n">
        <f aca="false">IF(Team!$A9="","",Team!$H9)</f>
        <v>0</v>
      </c>
      <c r="K21" s="16" t="n">
        <f aca="false">IF(Team!$A9="","",Team!$I9)</f>
        <v>0</v>
      </c>
    </row>
    <row r="22" customFormat="false" ht="15" hidden="false" customHeight="false" outlineLevel="0" collapsed="false">
      <c r="A22" s="15" t="s">
        <v>80</v>
      </c>
      <c r="B22" s="16"/>
      <c r="C22" s="16" t="n">
        <f aca="false">COUNTIFS(Tasks!$H$5:$H$504,"&lt;&gt;Done",Tasks!$H$5:$H$504,"&lt;&gt;Cancelled",Tasks!$F$5:$F$504,"",Tasks!$A$5:$A$504,"&lt;&gt;")</f>
        <v>0</v>
      </c>
      <c r="D22" s="18" t="n">
        <f aca="false">SUM(B22:C22)</f>
        <v>0</v>
      </c>
      <c r="E22" s="16"/>
      <c r="G22" s="15" t="str">
        <f aca="false">IF(Team!$A10="","",Team!$A10)</f>
        <v/>
      </c>
      <c r="H22" s="16" t="str">
        <f aca="false">IF(Team!$A10="","",Team!$F10)</f>
        <v/>
      </c>
      <c r="I22" s="16" t="str">
        <f aca="false">IF(Team!$A10="","",Team!$G10)</f>
        <v/>
      </c>
      <c r="J22" s="16" t="str">
        <f aca="false">IF(Team!$A10="","",Team!$H10)</f>
        <v/>
      </c>
      <c r="K22" s="16" t="str">
        <f aca="false">IF(Team!$A10="","",Team!$I10)</f>
        <v/>
      </c>
    </row>
    <row r="23" customFormat="false" ht="15" hidden="false" customHeight="false" outlineLevel="0" collapsed="false">
      <c r="G23" s="15" t="str">
        <f aca="false">IF(Team!$A11="","",Team!$A11)</f>
        <v/>
      </c>
      <c r="H23" s="16" t="str">
        <f aca="false">IF(Team!$A11="","",Team!$F11)</f>
        <v/>
      </c>
      <c r="I23" s="16" t="str">
        <f aca="false">IF(Team!$A11="","",Team!$G11)</f>
        <v/>
      </c>
      <c r="J23" s="16" t="str">
        <f aca="false">IF(Team!$A11="","",Team!$H11)</f>
        <v/>
      </c>
      <c r="K23" s="16" t="str">
        <f aca="false">IF(Team!$A11="","",Team!$I11)</f>
        <v/>
      </c>
    </row>
    <row r="24" customFormat="false" ht="15" hidden="false" customHeight="false" outlineLevel="0" collapsed="false">
      <c r="G24" s="15" t="str">
        <f aca="false">IF(Team!$A12="","",Team!$A12)</f>
        <v/>
      </c>
      <c r="H24" s="16" t="str">
        <f aca="false">IF(Team!$A12="","",Team!$F12)</f>
        <v/>
      </c>
      <c r="I24" s="16" t="str">
        <f aca="false">IF(Team!$A12="","",Team!$G12)</f>
        <v/>
      </c>
      <c r="J24" s="16" t="str">
        <f aca="false">IF(Team!$A12="","",Team!$H12)</f>
        <v/>
      </c>
      <c r="K24" s="16" t="str">
        <f aca="false">IF(Team!$A12="","",Team!$I12)</f>
        <v/>
      </c>
    </row>
    <row r="25" customFormat="false" ht="15" hidden="false" customHeight="false" outlineLevel="0" collapsed="false">
      <c r="G25" s="15" t="str">
        <f aca="false">IF(Team!$A13="","",Team!$A13)</f>
        <v/>
      </c>
      <c r="H25" s="16" t="str">
        <f aca="false">IF(Team!$A13="","",Team!$F13)</f>
        <v/>
      </c>
      <c r="I25" s="16" t="str">
        <f aca="false">IF(Team!$A13="","",Team!$G13)</f>
        <v/>
      </c>
      <c r="J25" s="16" t="str">
        <f aca="false">IF(Team!$A13="","",Team!$H13)</f>
        <v/>
      </c>
      <c r="K25" s="16" t="str">
        <f aca="false">IF(Team!$A13="","",Team!$I13)</f>
        <v/>
      </c>
    </row>
    <row r="26" customFormat="false" ht="15" hidden="false" customHeight="false" outlineLevel="0" collapsed="false">
      <c r="G26" s="15" t="str">
        <f aca="false">IF(Team!$A14="","",Team!$A14)</f>
        <v/>
      </c>
      <c r="H26" s="16" t="str">
        <f aca="false">IF(Team!$A14="","",Team!$F14)</f>
        <v/>
      </c>
      <c r="I26" s="16" t="str">
        <f aca="false">IF(Team!$A14="","",Team!$G14)</f>
        <v/>
      </c>
      <c r="J26" s="16" t="str">
        <f aca="false">IF(Team!$A14="","",Team!$H14)</f>
        <v/>
      </c>
      <c r="K26" s="16" t="str">
        <f aca="false">IF(Team!$A14="","",Team!$I14)</f>
        <v/>
      </c>
    </row>
    <row r="27" customFormat="false" ht="15" hidden="false" customHeight="false" outlineLevel="0" collapsed="false">
      <c r="G27" s="2" t="s">
        <v>81</v>
      </c>
    </row>
    <row r="29" customFormat="false" ht="15" hidden="false" customHeight="false" outlineLevel="0" collapsed="false">
      <c r="A29" s="12" t="s">
        <v>82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4" t="s">
        <v>83</v>
      </c>
      <c r="B30" s="14" t="s">
        <v>52</v>
      </c>
      <c r="C30" s="14" t="s">
        <v>84</v>
      </c>
      <c r="D30" s="14" t="s">
        <v>74</v>
      </c>
      <c r="E30" s="14" t="s">
        <v>59</v>
      </c>
      <c r="F30" s="14"/>
      <c r="G30" s="14" t="s">
        <v>85</v>
      </c>
      <c r="H30" s="14" t="s">
        <v>86</v>
      </c>
      <c r="I30" s="14" t="s">
        <v>87</v>
      </c>
      <c r="J30" s="14" t="s">
        <v>88</v>
      </c>
      <c r="K30" s="14" t="s">
        <v>89</v>
      </c>
    </row>
    <row r="31" customFormat="false" ht="15" hidden="false" customHeight="false" outlineLevel="0" collapsed="false">
      <c r="A31" s="15" t="str">
        <f aca="false">IF(Projects!$A5="","",Projects!$A5)</f>
        <v>PRJ-001</v>
      </c>
      <c r="B31" s="16" t="str">
        <f aca="false">IF(Projects!$A5="","",Projects!$F5)</f>
        <v>In Progress</v>
      </c>
      <c r="C31" s="19" t="str">
        <f aca="false">IF(Projects!$A5="","",Projects!$J5)</f>
        <v>Amber</v>
      </c>
      <c r="D31" s="16" t="n">
        <f aca="false">IF(Projects!$A5="","",Projects!$M5)</f>
        <v>3</v>
      </c>
      <c r="E31" s="16" t="n">
        <f aca="false">IF(Projects!$A5="","",Projects!$N5)</f>
        <v>1</v>
      </c>
      <c r="F31" s="20"/>
      <c r="G31" s="15" t="str">
        <f aca="false">IF(Projects!$A5="","",Projects!$B5)</f>
        <v>SAP to Salesforce order sync (ACE 12)</v>
      </c>
      <c r="H31" s="16" t="str">
        <f aca="false">IF(Projects!$A5="","",Projects!$G5)</f>
        <v>Phani</v>
      </c>
      <c r="I31" s="21" t="n">
        <f aca="false">IF(Projects!$A5="","",Projects!$I5)</f>
        <v>46314</v>
      </c>
      <c r="J31" s="22" t="n">
        <f aca="true">IF(OR(Projects!$A5="",Projects!$I5="",Projects!$F5="Closed"),"",Projects!$I5-TODAY())</f>
        <v>35</v>
      </c>
      <c r="K31" s="23" t="n">
        <f aca="false">IF(Projects!$A5="","",Projects!$O5)</f>
        <v>0.25</v>
      </c>
    </row>
    <row r="32" customFormat="false" ht="15" hidden="false" customHeight="false" outlineLevel="0" collapsed="false">
      <c r="A32" s="15" t="str">
        <f aca="false">IF(Projects!$A6="","",Projects!$A6)</f>
        <v>PRJ-002</v>
      </c>
      <c r="B32" s="16" t="str">
        <f aca="false">IF(Projects!$A6="","",Projects!$F6)</f>
        <v>UAT</v>
      </c>
      <c r="C32" s="19" t="str">
        <f aca="false">IF(Projects!$A6="","",Projects!$J6)</f>
        <v>Green</v>
      </c>
      <c r="D32" s="16" t="n">
        <f aca="false">IF(Projects!$A6="","",Projects!$M6)</f>
        <v>2</v>
      </c>
      <c r="E32" s="16" t="n">
        <f aca="false">IF(Projects!$A6="","",Projects!$N6)</f>
        <v>0</v>
      </c>
      <c r="F32" s="20"/>
      <c r="G32" s="15" t="str">
        <f aca="false">IF(Projects!$A6="","",Projects!$B6)</f>
        <v>ACE 12.0.12 fixpack rollout on AIX 7.3</v>
      </c>
      <c r="H32" s="16" t="str">
        <f aca="false">IF(Projects!$A6="","",Projects!$G6)</f>
        <v>Phani</v>
      </c>
      <c r="I32" s="21" t="n">
        <f aca="false">IF(Projects!$A6="","",Projects!$I6)</f>
        <v>46293</v>
      </c>
      <c r="J32" s="22" t="n">
        <f aca="true">IF(OR(Projects!$A6="",Projects!$I6="",Projects!$F6="Closed"),"",Projects!$I6-TODAY())</f>
        <v>14</v>
      </c>
      <c r="K32" s="23" t="n">
        <f aca="false">IF(Projects!$A6="","",Projects!$O6)</f>
        <v>0.5</v>
      </c>
    </row>
    <row r="33" customFormat="false" ht="15" hidden="false" customHeight="false" outlineLevel="0" collapsed="false">
      <c r="A33" s="15" t="str">
        <f aca="false">IF(Projects!$A7="","",Projects!$A7)</f>
        <v>PRJ-003</v>
      </c>
      <c r="B33" s="16" t="str">
        <f aca="false">IF(Projects!$A7="","",Projects!$F7)</f>
        <v>Initiation</v>
      </c>
      <c r="C33" s="19" t="str">
        <f aca="false">IF(Projects!$A7="","",Projects!$J7)</f>
        <v>Green</v>
      </c>
      <c r="D33" s="16" t="n">
        <f aca="false">IF(Projects!$A7="","",Projects!$M7)</f>
        <v>2</v>
      </c>
      <c r="E33" s="16" t="n">
        <f aca="false">IF(Projects!$A7="","",Projects!$N7)</f>
        <v>0</v>
      </c>
      <c r="F33" s="20"/>
      <c r="G33" s="15" t="str">
        <f aca="false">IF(Projects!$A7="","",Projects!$B7)</f>
        <v>MQ cluster consolidation (QM03/QM04)</v>
      </c>
      <c r="H33" s="16" t="str">
        <f aca="false">IF(Projects!$A7="","",Projects!$G7)</f>
        <v>Suresh Babu</v>
      </c>
      <c r="I33" s="21" t="n">
        <f aca="false">IF(Projects!$A7="","",Projects!$I7)</f>
        <v>46369</v>
      </c>
      <c r="J33" s="22" t="n">
        <f aca="true">IF(OR(Projects!$A7="",Projects!$I7="",Projects!$F7="Closed"),"",Projects!$I7-TODAY())</f>
        <v>90</v>
      </c>
      <c r="K33" s="23" t="n">
        <f aca="false">IF(Projects!$A7="","",Projects!$O7)</f>
        <v>0</v>
      </c>
    </row>
    <row r="34" customFormat="false" ht="15" hidden="false" customHeight="false" outlineLevel="0" collapsed="false">
      <c r="A34" s="15" t="str">
        <f aca="false">IF(Projects!$A8="","",Projects!$A8)</f>
        <v>PRJ-004</v>
      </c>
      <c r="B34" s="16" t="str">
        <f aca="false">IF(Projects!$A8="","",Projects!$F8)</f>
        <v>On Hold</v>
      </c>
      <c r="C34" s="19" t="str">
        <f aca="false">IF(Projects!$A8="","",Projects!$J8)</f>
        <v>Red</v>
      </c>
      <c r="D34" s="16" t="n">
        <f aca="false">IF(Projects!$A8="","",Projects!$M8)</f>
        <v>2</v>
      </c>
      <c r="E34" s="16" t="n">
        <f aca="false">IF(Projects!$A8="","",Projects!$N8)</f>
        <v>1</v>
      </c>
      <c r="F34" s="20"/>
      <c r="G34" s="15" t="str">
        <f aca="false">IF(Projects!$A8="","",Projects!$B8)</f>
        <v>Payments REST API via NGINX gateway</v>
      </c>
      <c r="H34" s="16" t="str">
        <f aca="false">IF(Projects!$A8="","",Projects!$G8)</f>
        <v>Phani</v>
      </c>
      <c r="I34" s="21" t="n">
        <f aca="false">IF(Projects!$A8="","",Projects!$I8)</f>
        <v>46339</v>
      </c>
      <c r="J34" s="22" t="n">
        <f aca="true">IF(OR(Projects!$A8="",Projects!$I8="",Projects!$F8="Closed"),"",Projects!$I8-TODAY())</f>
        <v>60</v>
      </c>
      <c r="K34" s="23" t="n">
        <f aca="false">IF(Projects!$A8="","",Projects!$O8)</f>
        <v>0</v>
      </c>
    </row>
    <row r="35" customFormat="false" ht="15" hidden="false" customHeight="false" outlineLevel="0" collapsed="false">
      <c r="A35" s="15" t="str">
        <f aca="false">IF(Projects!$A9="","",Projects!$A9)</f>
        <v/>
      </c>
      <c r="B35" s="16" t="str">
        <f aca="false">IF(Projects!$A9="","",Projects!$F9)</f>
        <v/>
      </c>
      <c r="C35" s="19" t="str">
        <f aca="false">IF(Projects!$A9="","",Projects!$J9)</f>
        <v/>
      </c>
      <c r="D35" s="16" t="str">
        <f aca="false">IF(Projects!$A9="","",Projects!$M9)</f>
        <v/>
      </c>
      <c r="E35" s="16" t="str">
        <f aca="false">IF(Projects!$A9="","",Projects!$N9)</f>
        <v/>
      </c>
      <c r="F35" s="20"/>
      <c r="G35" s="15" t="str">
        <f aca="false">IF(Projects!$A9="","",Projects!$B9)</f>
        <v/>
      </c>
      <c r="H35" s="16" t="str">
        <f aca="false">IF(Projects!$A9="","",Projects!$G9)</f>
        <v/>
      </c>
      <c r="I35" s="21" t="str">
        <f aca="false">IF(Projects!$A9="","",Projects!$I9)</f>
        <v/>
      </c>
      <c r="J35" s="22" t="str">
        <f aca="true">IF(OR(Projects!$A9="",Projects!$I9="",Projects!$F9="Closed"),"",Projects!$I9-TODAY())</f>
        <v/>
      </c>
      <c r="K35" s="23" t="str">
        <f aca="false">IF(Projects!$A9="","",Projects!$O9)</f>
        <v/>
      </c>
    </row>
    <row r="36" customFormat="false" ht="15" hidden="false" customHeight="false" outlineLevel="0" collapsed="false">
      <c r="A36" s="15" t="str">
        <f aca="false">IF(Projects!$A10="","",Projects!$A10)</f>
        <v/>
      </c>
      <c r="B36" s="16" t="str">
        <f aca="false">IF(Projects!$A10="","",Projects!$F10)</f>
        <v/>
      </c>
      <c r="C36" s="19" t="str">
        <f aca="false">IF(Projects!$A10="","",Projects!$J10)</f>
        <v/>
      </c>
      <c r="D36" s="16" t="str">
        <f aca="false">IF(Projects!$A10="","",Projects!$M10)</f>
        <v/>
      </c>
      <c r="E36" s="16" t="str">
        <f aca="false">IF(Projects!$A10="","",Projects!$N10)</f>
        <v/>
      </c>
      <c r="F36" s="20"/>
      <c r="G36" s="15" t="str">
        <f aca="false">IF(Projects!$A10="","",Projects!$B10)</f>
        <v/>
      </c>
      <c r="H36" s="16" t="str">
        <f aca="false">IF(Projects!$A10="","",Projects!$G10)</f>
        <v/>
      </c>
      <c r="I36" s="21" t="str">
        <f aca="false">IF(Projects!$A10="","",Projects!$I10)</f>
        <v/>
      </c>
      <c r="J36" s="22" t="str">
        <f aca="true">IF(OR(Projects!$A10="",Projects!$I10="",Projects!$F10="Closed"),"",Projects!$I10-TODAY())</f>
        <v/>
      </c>
      <c r="K36" s="23" t="str">
        <f aca="false">IF(Projects!$A10="","",Projects!$O10)</f>
        <v/>
      </c>
    </row>
    <row r="37" customFormat="false" ht="15" hidden="false" customHeight="false" outlineLevel="0" collapsed="false">
      <c r="A37" s="15" t="str">
        <f aca="false">IF(Projects!$A11="","",Projects!$A11)</f>
        <v/>
      </c>
      <c r="B37" s="16" t="str">
        <f aca="false">IF(Projects!$A11="","",Projects!$F11)</f>
        <v/>
      </c>
      <c r="C37" s="19" t="str">
        <f aca="false">IF(Projects!$A11="","",Projects!$J11)</f>
        <v/>
      </c>
      <c r="D37" s="16" t="str">
        <f aca="false">IF(Projects!$A11="","",Projects!$M11)</f>
        <v/>
      </c>
      <c r="E37" s="16" t="str">
        <f aca="false">IF(Projects!$A11="","",Projects!$N11)</f>
        <v/>
      </c>
      <c r="F37" s="20"/>
      <c r="G37" s="15" t="str">
        <f aca="false">IF(Projects!$A11="","",Projects!$B11)</f>
        <v/>
      </c>
      <c r="H37" s="16" t="str">
        <f aca="false">IF(Projects!$A11="","",Projects!$G11)</f>
        <v/>
      </c>
      <c r="I37" s="21" t="str">
        <f aca="false">IF(Projects!$A11="","",Projects!$I11)</f>
        <v/>
      </c>
      <c r="J37" s="22" t="str">
        <f aca="true">IF(OR(Projects!$A11="",Projects!$I11="",Projects!$F11="Closed"),"",Projects!$I11-TODAY())</f>
        <v/>
      </c>
      <c r="K37" s="23" t="str">
        <f aca="false">IF(Projects!$A11="","",Projects!$O11)</f>
        <v/>
      </c>
    </row>
    <row r="38" customFormat="false" ht="15" hidden="false" customHeight="false" outlineLevel="0" collapsed="false">
      <c r="A38" s="15" t="str">
        <f aca="false">IF(Projects!$A12="","",Projects!$A12)</f>
        <v/>
      </c>
      <c r="B38" s="16" t="str">
        <f aca="false">IF(Projects!$A12="","",Projects!$F12)</f>
        <v/>
      </c>
      <c r="C38" s="19" t="str">
        <f aca="false">IF(Projects!$A12="","",Projects!$J12)</f>
        <v/>
      </c>
      <c r="D38" s="16" t="str">
        <f aca="false">IF(Projects!$A12="","",Projects!$M12)</f>
        <v/>
      </c>
      <c r="E38" s="16" t="str">
        <f aca="false">IF(Projects!$A12="","",Projects!$N12)</f>
        <v/>
      </c>
      <c r="F38" s="20"/>
      <c r="G38" s="15" t="str">
        <f aca="false">IF(Projects!$A12="","",Projects!$B12)</f>
        <v/>
      </c>
      <c r="H38" s="16" t="str">
        <f aca="false">IF(Projects!$A12="","",Projects!$G12)</f>
        <v/>
      </c>
      <c r="I38" s="21" t="str">
        <f aca="false">IF(Projects!$A12="","",Projects!$I12)</f>
        <v/>
      </c>
      <c r="J38" s="22" t="str">
        <f aca="true">IF(OR(Projects!$A12="",Projects!$I12="",Projects!$F12="Closed"),"",Projects!$I12-TODAY())</f>
        <v/>
      </c>
      <c r="K38" s="23" t="str">
        <f aca="false">IF(Projects!$A12="","",Projects!$O12)</f>
        <v/>
      </c>
    </row>
    <row r="39" customFormat="false" ht="15" hidden="false" customHeight="false" outlineLevel="0" collapsed="false">
      <c r="A39" s="15" t="str">
        <f aca="false">IF(Projects!$A13="","",Projects!$A13)</f>
        <v/>
      </c>
      <c r="B39" s="16" t="str">
        <f aca="false">IF(Projects!$A13="","",Projects!$F13)</f>
        <v/>
      </c>
      <c r="C39" s="19" t="str">
        <f aca="false">IF(Projects!$A13="","",Projects!$J13)</f>
        <v/>
      </c>
      <c r="D39" s="16" t="str">
        <f aca="false">IF(Projects!$A13="","",Projects!$M13)</f>
        <v/>
      </c>
      <c r="E39" s="16" t="str">
        <f aca="false">IF(Projects!$A13="","",Projects!$N13)</f>
        <v/>
      </c>
      <c r="F39" s="20"/>
      <c r="G39" s="15" t="str">
        <f aca="false">IF(Projects!$A13="","",Projects!$B13)</f>
        <v/>
      </c>
      <c r="H39" s="16" t="str">
        <f aca="false">IF(Projects!$A13="","",Projects!$G13)</f>
        <v/>
      </c>
      <c r="I39" s="21" t="str">
        <f aca="false">IF(Projects!$A13="","",Projects!$I13)</f>
        <v/>
      </c>
      <c r="J39" s="22" t="str">
        <f aca="true">IF(OR(Projects!$A13="",Projects!$I13="",Projects!$F13="Closed"),"",Projects!$I13-TODAY())</f>
        <v/>
      </c>
      <c r="K39" s="23" t="str">
        <f aca="false">IF(Projects!$A13="","",Projects!$O13)</f>
        <v/>
      </c>
    </row>
    <row r="40" customFormat="false" ht="15" hidden="false" customHeight="false" outlineLevel="0" collapsed="false">
      <c r="A40" s="15" t="str">
        <f aca="false">IF(Projects!$A14="","",Projects!$A14)</f>
        <v/>
      </c>
      <c r="B40" s="16" t="str">
        <f aca="false">IF(Projects!$A14="","",Projects!$F14)</f>
        <v/>
      </c>
      <c r="C40" s="19" t="str">
        <f aca="false">IF(Projects!$A14="","",Projects!$J14)</f>
        <v/>
      </c>
      <c r="D40" s="16" t="str">
        <f aca="false">IF(Projects!$A14="","",Projects!$M14)</f>
        <v/>
      </c>
      <c r="E40" s="16" t="str">
        <f aca="false">IF(Projects!$A14="","",Projects!$N14)</f>
        <v/>
      </c>
      <c r="F40" s="20"/>
      <c r="G40" s="15" t="str">
        <f aca="false">IF(Projects!$A14="","",Projects!$B14)</f>
        <v/>
      </c>
      <c r="H40" s="16" t="str">
        <f aca="false">IF(Projects!$A14="","",Projects!$G14)</f>
        <v/>
      </c>
      <c r="I40" s="21" t="str">
        <f aca="false">IF(Projects!$A14="","",Projects!$I14)</f>
        <v/>
      </c>
      <c r="J40" s="22" t="str">
        <f aca="true">IF(OR(Projects!$A14="",Projects!$I14="",Projects!$F14="Closed"),"",Projects!$I14-TODAY())</f>
        <v/>
      </c>
      <c r="K40" s="23" t="str">
        <f aca="false">IF(Projects!$A14="","",Projects!$O14)</f>
        <v/>
      </c>
    </row>
  </sheetData>
  <conditionalFormatting sqref="E7:E13">
    <cfRule type="cellIs" priority="2" operator="greaterThan" aboveAverage="0" equalAverage="0" bottom="0" percent="0" rank="0" text="" dxfId="0">
      <formula>0</formula>
    </cfRule>
  </conditionalFormatting>
  <conditionalFormatting sqref="D7:D13">
    <cfRule type="cellIs" priority="3" operator="greaterThan" aboveAverage="0" equalAverage="0" bottom="0" percent="0" rank="0" text="" dxfId="1">
      <formula>0</formula>
    </cfRule>
  </conditionalFormatting>
  <conditionalFormatting sqref="K7:K13">
    <cfRule type="cellIs" priority="4" operator="greaterThan" aboveAverage="0" equalAverage="0" bottom="0" percent="0" rank="0" text="" dxfId="0">
      <formula>0</formula>
    </cfRule>
  </conditionalFormatting>
  <conditionalFormatting sqref="B18:D18">
    <cfRule type="cellIs" priority="5" operator="greaterThan" aboveAverage="0" equalAverage="0" bottom="0" percent="0" rank="0" text="" dxfId="2">
      <formula>0</formula>
    </cfRule>
  </conditionalFormatting>
  <conditionalFormatting sqref="B17:D17">
    <cfRule type="cellIs" priority="6" operator="greaterThan" aboveAverage="0" equalAverage="0" bottom="0" percent="0" rank="0" text="" dxfId="0">
      <formula>0</formula>
    </cfRule>
  </conditionalFormatting>
  <conditionalFormatting sqref="B19:D22">
    <cfRule type="cellIs" priority="7" operator="greaterThan" aboveAverage="0" equalAverage="0" bottom="0" percent="0" rank="0" text="" dxfId="0">
      <formula>0</formula>
    </cfRule>
  </conditionalFormatting>
  <conditionalFormatting sqref="K17:K26">
    <cfRule type="cellIs" priority="8" operator="greaterThan" aboveAverage="0" equalAverage="0" bottom="0" percent="0" rank="0" text="" dxfId="0">
      <formula>0</formula>
    </cfRule>
  </conditionalFormatting>
  <conditionalFormatting sqref="J17:J26">
    <cfRule type="cellIs" priority="9" operator="greaterThan" aboveAverage="0" equalAverage="0" bottom="0" percent="0" rank="0" text="" dxfId="1">
      <formula>0</formula>
    </cfRule>
  </conditionalFormatting>
  <conditionalFormatting sqref="C31:C40">
    <cfRule type="cellIs" priority="10" operator="equal" aboveAverage="0" equalAverage="0" bottom="0" percent="0" rank="0" text="" dxfId="3">
      <formula>"Green"</formula>
    </cfRule>
    <cfRule type="cellIs" priority="11" operator="equal" aboveAverage="0" equalAverage="0" bottom="0" percent="0" rank="0" text="" dxfId="1">
      <formula>"Amber"</formula>
    </cfRule>
    <cfRule type="cellIs" priority="12" operator="equal" aboveAverage="0" equalAverage="0" bottom="0" percent="0" rank="0" text="" dxfId="4">
      <formula>"Red"</formula>
    </cfRule>
  </conditionalFormatting>
  <conditionalFormatting sqref="E31:E40">
    <cfRule type="cellIs" priority="13" operator="greaterThan" aboveAverage="0" equalAverage="0" bottom="0" percent="0" rank="0" text="" dxfId="0">
      <formula>0</formula>
    </cfRule>
  </conditionalFormatting>
  <conditionalFormatting sqref="J31:J40">
    <cfRule type="cellIs" priority="14" operator="lessThan" aboveAverage="0" equalAverage="0" bottom="0" percent="0" rank="0" text="" dxfId="5">
      <formula>0</formula>
    </cfRule>
    <cfRule type="expression" priority="15" aboveAverage="0" equalAverage="0" bottom="0" percent="0" rank="0" text="" dxfId="1">
      <formula>AND(ISNUMBER($J31),$J31&gt;=0,$J31&lt;=14)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30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90</v>
      </c>
    </row>
    <row r="4" customFormat="false" ht="30" hidden="false" customHeight="true" outlineLevel="0" collapsed="false">
      <c r="A4" s="24" t="s">
        <v>83</v>
      </c>
      <c r="B4" s="24" t="s">
        <v>91</v>
      </c>
      <c r="C4" s="24" t="s">
        <v>92</v>
      </c>
      <c r="D4" s="24" t="s">
        <v>93</v>
      </c>
      <c r="E4" s="24" t="s">
        <v>94</v>
      </c>
      <c r="F4" s="24" t="s">
        <v>52</v>
      </c>
      <c r="G4" s="24" t="s">
        <v>86</v>
      </c>
      <c r="H4" s="24" t="s">
        <v>95</v>
      </c>
      <c r="I4" s="24" t="s">
        <v>87</v>
      </c>
      <c r="J4" s="24" t="s">
        <v>84</v>
      </c>
      <c r="K4" s="24" t="s">
        <v>96</v>
      </c>
      <c r="L4" s="24" t="s">
        <v>67</v>
      </c>
      <c r="M4" s="24" t="s">
        <v>74</v>
      </c>
      <c r="N4" s="24" t="s">
        <v>59</v>
      </c>
      <c r="O4" s="24" t="s">
        <v>89</v>
      </c>
      <c r="P4" s="24" t="s">
        <v>97</v>
      </c>
      <c r="Q4" s="24" t="s">
        <v>98</v>
      </c>
    </row>
    <row r="5" customFormat="false" ht="23.85" hidden="false" customHeight="false" outlineLevel="0" collapsed="false">
      <c r="A5" s="25" t="s">
        <v>99</v>
      </c>
      <c r="B5" s="25" t="s">
        <v>100</v>
      </c>
      <c r="C5" s="25" t="s">
        <v>101</v>
      </c>
      <c r="D5" s="25" t="s">
        <v>102</v>
      </c>
      <c r="E5" s="25" t="s">
        <v>103</v>
      </c>
      <c r="F5" s="25" t="s">
        <v>62</v>
      </c>
      <c r="G5" s="25" t="s">
        <v>104</v>
      </c>
      <c r="H5" s="26" t="n">
        <v>46239</v>
      </c>
      <c r="I5" s="26" t="n">
        <v>46314</v>
      </c>
      <c r="J5" s="25" t="s">
        <v>55</v>
      </c>
      <c r="K5" s="27" t="n">
        <f aca="false">IF($A5="","",COUNTIF(Tasks!$B$5:$B$504,$A5))</f>
        <v>4</v>
      </c>
      <c r="L5" s="27" t="n">
        <f aca="false">IF($A5="","",COUNTIFS(Tasks!$B$5:$B$504,$A5,Tasks!$H$5:$H$504,"Done"))</f>
        <v>1</v>
      </c>
      <c r="M5" s="27" t="n">
        <f aca="false">IF($A5="","",K5-L5-COUNTIFS(Tasks!$B$5:$B$504,$A5,Tasks!$H$5:$H$504,"Cancelled"))</f>
        <v>3</v>
      </c>
      <c r="N5" s="27" t="n">
        <f aca="false">IF($A5="","",COUNTIFS(Tasks!$B$5:$B$504,$A5,Tasks!$M$5:$M$504,"OVERDUE"))</f>
        <v>1</v>
      </c>
      <c r="O5" s="28" t="n">
        <f aca="false">IF(OR($A5="",K5=0),"",L5/(K5-COUNTIFS(Tasks!$B$5:$B$504,$A5,Tasks!$H$5:$H$504,"Cancelled")))</f>
        <v>0.25</v>
      </c>
      <c r="P5" s="25" t="s">
        <v>105</v>
      </c>
      <c r="Q5" s="25" t="s">
        <v>106</v>
      </c>
    </row>
    <row r="6" customFormat="false" ht="15" hidden="false" customHeight="false" outlineLevel="0" collapsed="false">
      <c r="A6" s="25" t="s">
        <v>107</v>
      </c>
      <c r="B6" s="25" t="s">
        <v>108</v>
      </c>
      <c r="C6" s="25" t="s">
        <v>109</v>
      </c>
      <c r="D6" s="25" t="s">
        <v>110</v>
      </c>
      <c r="E6" s="25" t="s">
        <v>111</v>
      </c>
      <c r="F6" s="25" t="s">
        <v>64</v>
      </c>
      <c r="G6" s="25" t="s">
        <v>104</v>
      </c>
      <c r="H6" s="26" t="n">
        <v>46259</v>
      </c>
      <c r="I6" s="26" t="n">
        <v>46293</v>
      </c>
      <c r="J6" s="25" t="s">
        <v>54</v>
      </c>
      <c r="K6" s="27" t="n">
        <f aca="false">IF($A6="","",COUNTIF(Tasks!$B$5:$B$504,$A6))</f>
        <v>4</v>
      </c>
      <c r="L6" s="27" t="n">
        <f aca="false">IF($A6="","",COUNTIFS(Tasks!$B$5:$B$504,$A6,Tasks!$H$5:$H$504,"Done"))</f>
        <v>2</v>
      </c>
      <c r="M6" s="27" t="n">
        <f aca="false">IF($A6="","",K6-L6-COUNTIFS(Tasks!$B$5:$B$504,$A6,Tasks!$H$5:$H$504,"Cancelled"))</f>
        <v>2</v>
      </c>
      <c r="N6" s="27" t="n">
        <f aca="false">IF($A6="","",COUNTIFS(Tasks!$B$5:$B$504,$A6,Tasks!$M$5:$M$504,"OVERDUE"))</f>
        <v>0</v>
      </c>
      <c r="O6" s="28" t="n">
        <f aca="false">IF(OR($A6="",K6=0),"",L6/(K6-COUNTIFS(Tasks!$B$5:$B$504,$A6,Tasks!$H$5:$H$504,"Cancelled")))</f>
        <v>0.5</v>
      </c>
      <c r="P6" s="25" t="s">
        <v>112</v>
      </c>
      <c r="Q6" s="25" t="s">
        <v>113</v>
      </c>
    </row>
    <row r="7" customFormat="false" ht="15" hidden="false" customHeight="false" outlineLevel="0" collapsed="false">
      <c r="A7" s="25" t="s">
        <v>114</v>
      </c>
      <c r="B7" s="25" t="s">
        <v>115</v>
      </c>
      <c r="C7" s="25" t="s">
        <v>109</v>
      </c>
      <c r="D7" s="25" t="s">
        <v>116</v>
      </c>
      <c r="E7" s="25" t="s">
        <v>117</v>
      </c>
      <c r="F7" s="25" t="s">
        <v>60</v>
      </c>
      <c r="G7" s="25" t="s">
        <v>118</v>
      </c>
      <c r="H7" s="26" t="n">
        <v>46274</v>
      </c>
      <c r="I7" s="26" t="n">
        <v>46369</v>
      </c>
      <c r="J7" s="25" t="s">
        <v>54</v>
      </c>
      <c r="K7" s="27" t="n">
        <f aca="false">IF($A7="","",COUNTIF(Tasks!$B$5:$B$504,$A7))</f>
        <v>2</v>
      </c>
      <c r="L7" s="27" t="n">
        <f aca="false">IF($A7="","",COUNTIFS(Tasks!$B$5:$B$504,$A7,Tasks!$H$5:$H$504,"Done"))</f>
        <v>0</v>
      </c>
      <c r="M7" s="27" t="n">
        <f aca="false">IF($A7="","",K7-L7-COUNTIFS(Tasks!$B$5:$B$504,$A7,Tasks!$H$5:$H$504,"Cancelled"))</f>
        <v>2</v>
      </c>
      <c r="N7" s="27" t="n">
        <f aca="false">IF($A7="","",COUNTIFS(Tasks!$B$5:$B$504,$A7,Tasks!$M$5:$M$504,"OVERDUE"))</f>
        <v>0</v>
      </c>
      <c r="O7" s="28" t="n">
        <f aca="false">IF(OR($A7="",K7=0),"",L7/(K7-COUNTIFS(Tasks!$B$5:$B$504,$A7,Tasks!$H$5:$H$504,"Cancelled")))</f>
        <v>0</v>
      </c>
      <c r="P7" s="25" t="s">
        <v>119</v>
      </c>
      <c r="Q7" s="25" t="s">
        <v>120</v>
      </c>
    </row>
    <row r="8" customFormat="false" ht="23.85" hidden="false" customHeight="false" outlineLevel="0" collapsed="false">
      <c r="A8" s="25" t="s">
        <v>121</v>
      </c>
      <c r="B8" s="25" t="s">
        <v>122</v>
      </c>
      <c r="C8" s="25" t="s">
        <v>123</v>
      </c>
      <c r="D8" s="25" t="s">
        <v>124</v>
      </c>
      <c r="E8" s="25" t="s">
        <v>103</v>
      </c>
      <c r="F8" s="25" t="s">
        <v>63</v>
      </c>
      <c r="G8" s="25" t="s">
        <v>104</v>
      </c>
      <c r="H8" s="26" t="n">
        <v>46219</v>
      </c>
      <c r="I8" s="26" t="n">
        <v>46339</v>
      </c>
      <c r="J8" s="25" t="s">
        <v>56</v>
      </c>
      <c r="K8" s="27" t="n">
        <f aca="false">IF($A8="","",COUNTIF(Tasks!$B$5:$B$504,$A8))</f>
        <v>2</v>
      </c>
      <c r="L8" s="27" t="n">
        <f aca="false">IF($A8="","",COUNTIFS(Tasks!$B$5:$B$504,$A8,Tasks!$H$5:$H$504,"Done"))</f>
        <v>0</v>
      </c>
      <c r="M8" s="27" t="n">
        <f aca="false">IF($A8="","",K8-L8-COUNTIFS(Tasks!$B$5:$B$504,$A8,Tasks!$H$5:$H$504,"Cancelled"))</f>
        <v>2</v>
      </c>
      <c r="N8" s="27" t="n">
        <f aca="false">IF($A8="","",COUNTIFS(Tasks!$B$5:$B$504,$A8,Tasks!$M$5:$M$504,"OVERDUE"))</f>
        <v>1</v>
      </c>
      <c r="O8" s="28" t="n">
        <f aca="false">IF(OR($A8="",K8=0),"",L8/(K8-COUNTIFS(Tasks!$B$5:$B$504,$A8,Tasks!$H$5:$H$504,"Cancelled")))</f>
        <v>0</v>
      </c>
      <c r="P8" s="25" t="s">
        <v>125</v>
      </c>
      <c r="Q8" s="25" t="s">
        <v>126</v>
      </c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  <c r="G9" s="25"/>
      <c r="H9" s="26"/>
      <c r="I9" s="26"/>
      <c r="J9" s="25"/>
      <c r="K9" s="27" t="str">
        <f aca="false">IF($A9="","",COUNTIF(Tasks!$B$5:$B$504,$A9))</f>
        <v/>
      </c>
      <c r="L9" s="27" t="str">
        <f aca="false">IF($A9="","",COUNTIFS(Tasks!$B$5:$B$504,$A9,Tasks!$H$5:$H$504,"Done"))</f>
        <v/>
      </c>
      <c r="M9" s="27" t="str">
        <f aca="false">IF($A9="","",K9-L9-COUNTIFS(Tasks!$B$5:$B$504,$A9,Tasks!$H$5:$H$504,"Cancelled"))</f>
        <v/>
      </c>
      <c r="N9" s="27" t="str">
        <f aca="false">IF($A9="","",COUNTIFS(Tasks!$B$5:$B$504,$A9,Tasks!$M$5:$M$504,"OVERDUE"))</f>
        <v/>
      </c>
      <c r="O9" s="28" t="str">
        <f aca="false">IF(OR($A9="",K9=0),"",L9/(K9-COUNTIFS(Tasks!$B$5:$B$504,$A9,Tasks!$H$5:$H$504,"Cancelled")))</f>
        <v/>
      </c>
      <c r="P9" s="25"/>
      <c r="Q9" s="25"/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  <c r="G10" s="25"/>
      <c r="H10" s="26"/>
      <c r="I10" s="26"/>
      <c r="J10" s="25"/>
      <c r="K10" s="27" t="str">
        <f aca="false">IF($A10="","",COUNTIF(Tasks!$B$5:$B$504,$A10))</f>
        <v/>
      </c>
      <c r="L10" s="27" t="str">
        <f aca="false">IF($A10="","",COUNTIFS(Tasks!$B$5:$B$504,$A10,Tasks!$H$5:$H$504,"Done"))</f>
        <v/>
      </c>
      <c r="M10" s="27" t="str">
        <f aca="false">IF($A10="","",K10-L10-COUNTIFS(Tasks!$B$5:$B$504,$A10,Tasks!$H$5:$H$504,"Cancelled"))</f>
        <v/>
      </c>
      <c r="N10" s="27" t="str">
        <f aca="false">IF($A10="","",COUNTIFS(Tasks!$B$5:$B$504,$A10,Tasks!$M$5:$M$504,"OVERDUE"))</f>
        <v/>
      </c>
      <c r="O10" s="28" t="str">
        <f aca="false">IF(OR($A10="",K10=0),"",L10/(K10-COUNTIFS(Tasks!$B$5:$B$504,$A10,Tasks!$H$5:$H$504,"Cancelled")))</f>
        <v/>
      </c>
      <c r="P10" s="25"/>
      <c r="Q10" s="25"/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  <c r="G11" s="25"/>
      <c r="H11" s="26"/>
      <c r="I11" s="26"/>
      <c r="J11" s="25"/>
      <c r="K11" s="27" t="str">
        <f aca="false">IF($A11="","",COUNTIF(Tasks!$B$5:$B$504,$A11))</f>
        <v/>
      </c>
      <c r="L11" s="27" t="str">
        <f aca="false">IF($A11="","",COUNTIFS(Tasks!$B$5:$B$504,$A11,Tasks!$H$5:$H$504,"Done"))</f>
        <v/>
      </c>
      <c r="M11" s="27" t="str">
        <f aca="false">IF($A11="","",K11-L11-COUNTIFS(Tasks!$B$5:$B$504,$A11,Tasks!$H$5:$H$504,"Cancelled"))</f>
        <v/>
      </c>
      <c r="N11" s="27" t="str">
        <f aca="false">IF($A11="","",COUNTIFS(Tasks!$B$5:$B$504,$A11,Tasks!$M$5:$M$504,"OVERDUE"))</f>
        <v/>
      </c>
      <c r="O11" s="28" t="str">
        <f aca="false">IF(OR($A11="",K11=0),"",L11/(K11-COUNTIFS(Tasks!$B$5:$B$504,$A11,Tasks!$H$5:$H$504,"Cancelled")))</f>
        <v/>
      </c>
      <c r="P11" s="25"/>
      <c r="Q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  <c r="G12" s="25"/>
      <c r="H12" s="26"/>
      <c r="I12" s="26"/>
      <c r="J12" s="25"/>
      <c r="K12" s="27" t="str">
        <f aca="false">IF($A12="","",COUNTIF(Tasks!$B$5:$B$504,$A12))</f>
        <v/>
      </c>
      <c r="L12" s="27" t="str">
        <f aca="false">IF($A12="","",COUNTIFS(Tasks!$B$5:$B$504,$A12,Tasks!$H$5:$H$504,"Done"))</f>
        <v/>
      </c>
      <c r="M12" s="27" t="str">
        <f aca="false">IF($A12="","",K12-L12-COUNTIFS(Tasks!$B$5:$B$504,$A12,Tasks!$H$5:$H$504,"Cancelled"))</f>
        <v/>
      </c>
      <c r="N12" s="27" t="str">
        <f aca="false">IF($A12="","",COUNTIFS(Tasks!$B$5:$B$504,$A12,Tasks!$M$5:$M$504,"OVERDUE"))</f>
        <v/>
      </c>
      <c r="O12" s="28" t="str">
        <f aca="false">IF(OR($A12="",K12=0),"",L12/(K12-COUNTIFS(Tasks!$B$5:$B$504,$A12,Tasks!$H$5:$H$504,"Cancelled")))</f>
        <v/>
      </c>
      <c r="P12" s="25"/>
      <c r="Q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  <c r="G13" s="25"/>
      <c r="H13" s="26"/>
      <c r="I13" s="26"/>
      <c r="J13" s="25"/>
      <c r="K13" s="27" t="str">
        <f aca="false">IF($A13="","",COUNTIF(Tasks!$B$5:$B$504,$A13))</f>
        <v/>
      </c>
      <c r="L13" s="27" t="str">
        <f aca="false">IF($A13="","",COUNTIFS(Tasks!$B$5:$B$504,$A13,Tasks!$H$5:$H$504,"Done"))</f>
        <v/>
      </c>
      <c r="M13" s="27" t="str">
        <f aca="false">IF($A13="","",K13-L13-COUNTIFS(Tasks!$B$5:$B$504,$A13,Tasks!$H$5:$H$504,"Cancelled"))</f>
        <v/>
      </c>
      <c r="N13" s="27" t="str">
        <f aca="false">IF($A13="","",COUNTIFS(Tasks!$B$5:$B$504,$A13,Tasks!$M$5:$M$504,"OVERDUE"))</f>
        <v/>
      </c>
      <c r="O13" s="28" t="str">
        <f aca="false">IF(OR($A13="",K13=0),"",L13/(K13-COUNTIFS(Tasks!$B$5:$B$504,$A13,Tasks!$H$5:$H$504,"Cancelled")))</f>
        <v/>
      </c>
      <c r="P13" s="25"/>
      <c r="Q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  <c r="G14" s="25"/>
      <c r="H14" s="26"/>
      <c r="I14" s="26"/>
      <c r="J14" s="25"/>
      <c r="K14" s="27" t="str">
        <f aca="false">IF($A14="","",COUNTIF(Tasks!$B$5:$B$504,$A14))</f>
        <v/>
      </c>
      <c r="L14" s="27" t="str">
        <f aca="false">IF($A14="","",COUNTIFS(Tasks!$B$5:$B$504,$A14,Tasks!$H$5:$H$504,"Done"))</f>
        <v/>
      </c>
      <c r="M14" s="27" t="str">
        <f aca="false">IF($A14="","",K14-L14-COUNTIFS(Tasks!$B$5:$B$504,$A14,Tasks!$H$5:$H$504,"Cancelled"))</f>
        <v/>
      </c>
      <c r="N14" s="27" t="str">
        <f aca="false">IF($A14="","",COUNTIFS(Tasks!$B$5:$B$504,$A14,Tasks!$M$5:$M$504,"OVERDUE"))</f>
        <v/>
      </c>
      <c r="O14" s="28" t="str">
        <f aca="false">IF(OR($A14="",K14=0),"",L14/(K14-COUNTIFS(Tasks!$B$5:$B$504,$A14,Tasks!$H$5:$H$504,"Cancelled")))</f>
        <v/>
      </c>
      <c r="P14" s="25"/>
      <c r="Q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  <c r="H15" s="26"/>
      <c r="I15" s="26"/>
      <c r="J15" s="25"/>
      <c r="K15" s="27" t="str">
        <f aca="false">IF($A15="","",COUNTIF(Tasks!$B$5:$B$504,$A15))</f>
        <v/>
      </c>
      <c r="L15" s="27" t="str">
        <f aca="false">IF($A15="","",COUNTIFS(Tasks!$B$5:$B$504,$A15,Tasks!$H$5:$H$504,"Done"))</f>
        <v/>
      </c>
      <c r="M15" s="27" t="str">
        <f aca="false">IF($A15="","",K15-L15-COUNTIFS(Tasks!$B$5:$B$504,$A15,Tasks!$H$5:$H$504,"Cancelled"))</f>
        <v/>
      </c>
      <c r="N15" s="27" t="str">
        <f aca="false">IF($A15="","",COUNTIFS(Tasks!$B$5:$B$504,$A15,Tasks!$M$5:$M$504,"OVERDUE"))</f>
        <v/>
      </c>
      <c r="O15" s="28" t="str">
        <f aca="false">IF(OR($A15="",K15=0),"",L15/(K15-COUNTIFS(Tasks!$B$5:$B$504,$A15,Tasks!$H$5:$H$504,"Cancelled")))</f>
        <v/>
      </c>
      <c r="P15" s="25"/>
      <c r="Q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  <c r="H16" s="26"/>
      <c r="I16" s="26"/>
      <c r="J16" s="25"/>
      <c r="K16" s="27" t="str">
        <f aca="false">IF($A16="","",COUNTIF(Tasks!$B$5:$B$504,$A16))</f>
        <v/>
      </c>
      <c r="L16" s="27" t="str">
        <f aca="false">IF($A16="","",COUNTIFS(Tasks!$B$5:$B$504,$A16,Tasks!$H$5:$H$504,"Done"))</f>
        <v/>
      </c>
      <c r="M16" s="27" t="str">
        <f aca="false">IF($A16="","",K16-L16-COUNTIFS(Tasks!$B$5:$B$504,$A16,Tasks!$H$5:$H$504,"Cancelled"))</f>
        <v/>
      </c>
      <c r="N16" s="27" t="str">
        <f aca="false">IF($A16="","",COUNTIFS(Tasks!$B$5:$B$504,$A16,Tasks!$M$5:$M$504,"OVERDUE"))</f>
        <v/>
      </c>
      <c r="O16" s="28" t="str">
        <f aca="false">IF(OR($A16="",K16=0),"",L16/(K16-COUNTIFS(Tasks!$B$5:$B$504,$A16,Tasks!$H$5:$H$504,"Cancelled")))</f>
        <v/>
      </c>
      <c r="P16" s="25"/>
      <c r="Q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  <c r="H17" s="26"/>
      <c r="I17" s="26"/>
      <c r="J17" s="25"/>
      <c r="K17" s="27" t="str">
        <f aca="false">IF($A17="","",COUNTIF(Tasks!$B$5:$B$504,$A17))</f>
        <v/>
      </c>
      <c r="L17" s="27" t="str">
        <f aca="false">IF($A17="","",COUNTIFS(Tasks!$B$5:$B$504,$A17,Tasks!$H$5:$H$504,"Done"))</f>
        <v/>
      </c>
      <c r="M17" s="27" t="str">
        <f aca="false">IF($A17="","",K17-L17-COUNTIFS(Tasks!$B$5:$B$504,$A17,Tasks!$H$5:$H$504,"Cancelled"))</f>
        <v/>
      </c>
      <c r="N17" s="27" t="str">
        <f aca="false">IF($A17="","",COUNTIFS(Tasks!$B$5:$B$504,$A17,Tasks!$M$5:$M$504,"OVERDUE"))</f>
        <v/>
      </c>
      <c r="O17" s="28" t="str">
        <f aca="false">IF(OR($A17="",K17=0),"",L17/(K17-COUNTIFS(Tasks!$B$5:$B$504,$A17,Tasks!$H$5:$H$504,"Cancelled")))</f>
        <v/>
      </c>
      <c r="P17" s="25"/>
      <c r="Q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6"/>
      <c r="I18" s="26"/>
      <c r="J18" s="25"/>
      <c r="K18" s="27" t="str">
        <f aca="false">IF($A18="","",COUNTIF(Tasks!$B$5:$B$504,$A18))</f>
        <v/>
      </c>
      <c r="L18" s="27" t="str">
        <f aca="false">IF($A18="","",COUNTIFS(Tasks!$B$5:$B$504,$A18,Tasks!$H$5:$H$504,"Done"))</f>
        <v/>
      </c>
      <c r="M18" s="27" t="str">
        <f aca="false">IF($A18="","",K18-L18-COUNTIFS(Tasks!$B$5:$B$504,$A18,Tasks!$H$5:$H$504,"Cancelled"))</f>
        <v/>
      </c>
      <c r="N18" s="27" t="str">
        <f aca="false">IF($A18="","",COUNTIFS(Tasks!$B$5:$B$504,$A18,Tasks!$M$5:$M$504,"OVERDUE"))</f>
        <v/>
      </c>
      <c r="O18" s="28" t="str">
        <f aca="false">IF(OR($A18="",K18=0),"",L18/(K18-COUNTIFS(Tasks!$B$5:$B$504,$A18,Tasks!$H$5:$H$504,"Cancelled")))</f>
        <v/>
      </c>
      <c r="P18" s="25"/>
      <c r="Q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6"/>
      <c r="I19" s="26"/>
      <c r="J19" s="25"/>
      <c r="K19" s="27" t="str">
        <f aca="false">IF($A19="","",COUNTIF(Tasks!$B$5:$B$504,$A19))</f>
        <v/>
      </c>
      <c r="L19" s="27" t="str">
        <f aca="false">IF($A19="","",COUNTIFS(Tasks!$B$5:$B$504,$A19,Tasks!$H$5:$H$504,"Done"))</f>
        <v/>
      </c>
      <c r="M19" s="27" t="str">
        <f aca="false">IF($A19="","",K19-L19-COUNTIFS(Tasks!$B$5:$B$504,$A19,Tasks!$H$5:$H$504,"Cancelled"))</f>
        <v/>
      </c>
      <c r="N19" s="27" t="str">
        <f aca="false">IF($A19="","",COUNTIFS(Tasks!$B$5:$B$504,$A19,Tasks!$M$5:$M$504,"OVERDUE"))</f>
        <v/>
      </c>
      <c r="O19" s="28" t="str">
        <f aca="false">IF(OR($A19="",K19=0),"",L19/(K19-COUNTIFS(Tasks!$B$5:$B$504,$A19,Tasks!$H$5:$H$504,"Cancelled")))</f>
        <v/>
      </c>
      <c r="P19" s="25"/>
      <c r="Q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6"/>
      <c r="I20" s="26"/>
      <c r="J20" s="25"/>
      <c r="K20" s="27" t="str">
        <f aca="false">IF($A20="","",COUNTIF(Tasks!$B$5:$B$504,$A20))</f>
        <v/>
      </c>
      <c r="L20" s="27" t="str">
        <f aca="false">IF($A20="","",COUNTIFS(Tasks!$B$5:$B$504,$A20,Tasks!$H$5:$H$504,"Done"))</f>
        <v/>
      </c>
      <c r="M20" s="27" t="str">
        <f aca="false">IF($A20="","",K20-L20-COUNTIFS(Tasks!$B$5:$B$504,$A20,Tasks!$H$5:$H$504,"Cancelled"))</f>
        <v/>
      </c>
      <c r="N20" s="27" t="str">
        <f aca="false">IF($A20="","",COUNTIFS(Tasks!$B$5:$B$504,$A20,Tasks!$M$5:$M$504,"OVERDUE"))</f>
        <v/>
      </c>
      <c r="O20" s="28" t="str">
        <f aca="false">IF(OR($A20="",K20=0),"",L20/(K20-COUNTIFS(Tasks!$B$5:$B$504,$A20,Tasks!$H$5:$H$504,"Cancelled")))</f>
        <v/>
      </c>
      <c r="P20" s="25"/>
      <c r="Q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6"/>
      <c r="I21" s="26"/>
      <c r="J21" s="25"/>
      <c r="K21" s="27" t="str">
        <f aca="false">IF($A21="","",COUNTIF(Tasks!$B$5:$B$504,$A21))</f>
        <v/>
      </c>
      <c r="L21" s="27" t="str">
        <f aca="false">IF($A21="","",COUNTIFS(Tasks!$B$5:$B$504,$A21,Tasks!$H$5:$H$504,"Done"))</f>
        <v/>
      </c>
      <c r="M21" s="27" t="str">
        <f aca="false">IF($A21="","",K21-L21-COUNTIFS(Tasks!$B$5:$B$504,$A21,Tasks!$H$5:$H$504,"Cancelled"))</f>
        <v/>
      </c>
      <c r="N21" s="27" t="str">
        <f aca="false">IF($A21="","",COUNTIFS(Tasks!$B$5:$B$504,$A21,Tasks!$M$5:$M$504,"OVERDUE"))</f>
        <v/>
      </c>
      <c r="O21" s="28" t="str">
        <f aca="false">IF(OR($A21="",K21=0),"",L21/(K21-COUNTIFS(Tasks!$B$5:$B$504,$A21,Tasks!$H$5:$H$504,"Cancelled")))</f>
        <v/>
      </c>
      <c r="P21" s="25"/>
      <c r="Q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6"/>
      <c r="I22" s="26"/>
      <c r="J22" s="25"/>
      <c r="K22" s="27" t="str">
        <f aca="false">IF($A22="","",COUNTIF(Tasks!$B$5:$B$504,$A22))</f>
        <v/>
      </c>
      <c r="L22" s="27" t="str">
        <f aca="false">IF($A22="","",COUNTIFS(Tasks!$B$5:$B$504,$A22,Tasks!$H$5:$H$504,"Done"))</f>
        <v/>
      </c>
      <c r="M22" s="27" t="str">
        <f aca="false">IF($A22="","",K22-L22-COUNTIFS(Tasks!$B$5:$B$504,$A22,Tasks!$H$5:$H$504,"Cancelled"))</f>
        <v/>
      </c>
      <c r="N22" s="27" t="str">
        <f aca="false">IF($A22="","",COUNTIFS(Tasks!$B$5:$B$504,$A22,Tasks!$M$5:$M$504,"OVERDUE"))</f>
        <v/>
      </c>
      <c r="O22" s="28" t="str">
        <f aca="false">IF(OR($A22="",K22=0),"",L22/(K22-COUNTIFS(Tasks!$B$5:$B$504,$A22,Tasks!$H$5:$H$504,"Cancelled")))</f>
        <v/>
      </c>
      <c r="P22" s="25"/>
      <c r="Q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  <c r="H23" s="26"/>
      <c r="I23" s="26"/>
      <c r="J23" s="25"/>
      <c r="K23" s="27" t="str">
        <f aca="false">IF($A23="","",COUNTIF(Tasks!$B$5:$B$504,$A23))</f>
        <v/>
      </c>
      <c r="L23" s="27" t="str">
        <f aca="false">IF($A23="","",COUNTIFS(Tasks!$B$5:$B$504,$A23,Tasks!$H$5:$H$504,"Done"))</f>
        <v/>
      </c>
      <c r="M23" s="27" t="str">
        <f aca="false">IF($A23="","",K23-L23-COUNTIFS(Tasks!$B$5:$B$504,$A23,Tasks!$H$5:$H$504,"Cancelled"))</f>
        <v/>
      </c>
      <c r="N23" s="27" t="str">
        <f aca="false">IF($A23="","",COUNTIFS(Tasks!$B$5:$B$504,$A23,Tasks!$M$5:$M$504,"OVERDUE"))</f>
        <v/>
      </c>
      <c r="O23" s="28" t="str">
        <f aca="false">IF(OR($A23="",K23=0),"",L23/(K23-COUNTIFS(Tasks!$B$5:$B$504,$A23,Tasks!$H$5:$H$504,"Cancelled")))</f>
        <v/>
      </c>
      <c r="P23" s="25"/>
      <c r="Q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  <c r="G24" s="25"/>
      <c r="H24" s="26"/>
      <c r="I24" s="26"/>
      <c r="J24" s="25"/>
      <c r="K24" s="27" t="str">
        <f aca="false">IF($A24="","",COUNTIF(Tasks!$B$5:$B$504,$A24))</f>
        <v/>
      </c>
      <c r="L24" s="27" t="str">
        <f aca="false">IF($A24="","",COUNTIFS(Tasks!$B$5:$B$504,$A24,Tasks!$H$5:$H$504,"Done"))</f>
        <v/>
      </c>
      <c r="M24" s="27" t="str">
        <f aca="false">IF($A24="","",K24-L24-COUNTIFS(Tasks!$B$5:$B$504,$A24,Tasks!$H$5:$H$504,"Cancelled"))</f>
        <v/>
      </c>
      <c r="N24" s="27" t="str">
        <f aca="false">IF($A24="","",COUNTIFS(Tasks!$B$5:$B$504,$A24,Tasks!$M$5:$M$504,"OVERDUE"))</f>
        <v/>
      </c>
      <c r="O24" s="28" t="str">
        <f aca="false">IF(OR($A24="",K24=0),"",L24/(K24-COUNTIFS(Tasks!$B$5:$B$504,$A24,Tasks!$H$5:$H$504,"Cancelled")))</f>
        <v/>
      </c>
      <c r="P24" s="25"/>
      <c r="Q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  <c r="G25" s="25"/>
      <c r="H25" s="26"/>
      <c r="I25" s="26"/>
      <c r="J25" s="25"/>
      <c r="K25" s="27" t="str">
        <f aca="false">IF($A25="","",COUNTIF(Tasks!$B$5:$B$504,$A25))</f>
        <v/>
      </c>
      <c r="L25" s="27" t="str">
        <f aca="false">IF($A25="","",COUNTIFS(Tasks!$B$5:$B$504,$A25,Tasks!$H$5:$H$504,"Done"))</f>
        <v/>
      </c>
      <c r="M25" s="27" t="str">
        <f aca="false">IF($A25="","",K25-L25-COUNTIFS(Tasks!$B$5:$B$504,$A25,Tasks!$H$5:$H$504,"Cancelled"))</f>
        <v/>
      </c>
      <c r="N25" s="27" t="str">
        <f aca="false">IF($A25="","",COUNTIFS(Tasks!$B$5:$B$504,$A25,Tasks!$M$5:$M$504,"OVERDUE"))</f>
        <v/>
      </c>
      <c r="O25" s="28" t="str">
        <f aca="false">IF(OR($A25="",K25=0),"",L25/(K25-COUNTIFS(Tasks!$B$5:$B$504,$A25,Tasks!$H$5:$H$504,"Cancelled")))</f>
        <v/>
      </c>
      <c r="P25" s="25"/>
      <c r="Q25" s="25"/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5"/>
      <c r="G26" s="25"/>
      <c r="H26" s="26"/>
      <c r="I26" s="26"/>
      <c r="J26" s="25"/>
      <c r="K26" s="27" t="str">
        <f aca="false">IF($A26="","",COUNTIF(Tasks!$B$5:$B$504,$A26))</f>
        <v/>
      </c>
      <c r="L26" s="27" t="str">
        <f aca="false">IF($A26="","",COUNTIFS(Tasks!$B$5:$B$504,$A26,Tasks!$H$5:$H$504,"Done"))</f>
        <v/>
      </c>
      <c r="M26" s="27" t="str">
        <f aca="false">IF($A26="","",K26-L26-COUNTIFS(Tasks!$B$5:$B$504,$A26,Tasks!$H$5:$H$504,"Cancelled"))</f>
        <v/>
      </c>
      <c r="N26" s="27" t="str">
        <f aca="false">IF($A26="","",COUNTIFS(Tasks!$B$5:$B$504,$A26,Tasks!$M$5:$M$504,"OVERDUE"))</f>
        <v/>
      </c>
      <c r="O26" s="28" t="str">
        <f aca="false">IF(OR($A26="",K26=0),"",L26/(K26-COUNTIFS(Tasks!$B$5:$B$504,$A26,Tasks!$H$5:$H$504,"Cancelled")))</f>
        <v/>
      </c>
      <c r="P26" s="25"/>
      <c r="Q26" s="25"/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5"/>
      <c r="G27" s="25"/>
      <c r="H27" s="26"/>
      <c r="I27" s="26"/>
      <c r="J27" s="25"/>
      <c r="K27" s="27" t="str">
        <f aca="false">IF($A27="","",COUNTIF(Tasks!$B$5:$B$504,$A27))</f>
        <v/>
      </c>
      <c r="L27" s="27" t="str">
        <f aca="false">IF($A27="","",COUNTIFS(Tasks!$B$5:$B$504,$A27,Tasks!$H$5:$H$504,"Done"))</f>
        <v/>
      </c>
      <c r="M27" s="27" t="str">
        <f aca="false">IF($A27="","",K27-L27-COUNTIFS(Tasks!$B$5:$B$504,$A27,Tasks!$H$5:$H$504,"Cancelled"))</f>
        <v/>
      </c>
      <c r="N27" s="27" t="str">
        <f aca="false">IF($A27="","",COUNTIFS(Tasks!$B$5:$B$504,$A27,Tasks!$M$5:$M$504,"OVERDUE"))</f>
        <v/>
      </c>
      <c r="O27" s="28" t="str">
        <f aca="false">IF(OR($A27="",K27=0),"",L27/(K27-COUNTIFS(Tasks!$B$5:$B$504,$A27,Tasks!$H$5:$H$504,"Cancelled")))</f>
        <v/>
      </c>
      <c r="P27" s="25"/>
      <c r="Q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  <c r="G28" s="25"/>
      <c r="H28" s="26"/>
      <c r="I28" s="26"/>
      <c r="J28" s="25"/>
      <c r="K28" s="27" t="str">
        <f aca="false">IF($A28="","",COUNTIF(Tasks!$B$5:$B$504,$A28))</f>
        <v/>
      </c>
      <c r="L28" s="27" t="str">
        <f aca="false">IF($A28="","",COUNTIFS(Tasks!$B$5:$B$504,$A28,Tasks!$H$5:$H$504,"Done"))</f>
        <v/>
      </c>
      <c r="M28" s="27" t="str">
        <f aca="false">IF($A28="","",K28-L28-COUNTIFS(Tasks!$B$5:$B$504,$A28,Tasks!$H$5:$H$504,"Cancelled"))</f>
        <v/>
      </c>
      <c r="N28" s="27" t="str">
        <f aca="false">IF($A28="","",COUNTIFS(Tasks!$B$5:$B$504,$A28,Tasks!$M$5:$M$504,"OVERDUE"))</f>
        <v/>
      </c>
      <c r="O28" s="28" t="str">
        <f aca="false">IF(OR($A28="",K28=0),"",L28/(K28-COUNTIFS(Tasks!$B$5:$B$504,$A28,Tasks!$H$5:$H$504,"Cancelled")))</f>
        <v/>
      </c>
      <c r="P28" s="25"/>
      <c r="Q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  <c r="G29" s="25"/>
      <c r="H29" s="26"/>
      <c r="I29" s="26"/>
      <c r="J29" s="25"/>
      <c r="K29" s="27" t="str">
        <f aca="false">IF($A29="","",COUNTIF(Tasks!$B$5:$B$504,$A29))</f>
        <v/>
      </c>
      <c r="L29" s="27" t="str">
        <f aca="false">IF($A29="","",COUNTIFS(Tasks!$B$5:$B$504,$A29,Tasks!$H$5:$H$504,"Done"))</f>
        <v/>
      </c>
      <c r="M29" s="27" t="str">
        <f aca="false">IF($A29="","",K29-L29-COUNTIFS(Tasks!$B$5:$B$504,$A29,Tasks!$H$5:$H$504,"Cancelled"))</f>
        <v/>
      </c>
      <c r="N29" s="27" t="str">
        <f aca="false">IF($A29="","",COUNTIFS(Tasks!$B$5:$B$504,$A29,Tasks!$M$5:$M$504,"OVERDUE"))</f>
        <v/>
      </c>
      <c r="O29" s="28" t="str">
        <f aca="false">IF(OR($A29="",K29=0),"",L29/(K29-COUNTIFS(Tasks!$B$5:$B$504,$A29,Tasks!$H$5:$H$504,"Cancelled")))</f>
        <v/>
      </c>
      <c r="P29" s="25"/>
      <c r="Q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  <c r="G30" s="25"/>
      <c r="H30" s="26"/>
      <c r="I30" s="26"/>
      <c r="J30" s="25"/>
      <c r="K30" s="27" t="str">
        <f aca="false">IF($A30="","",COUNTIF(Tasks!$B$5:$B$504,$A30))</f>
        <v/>
      </c>
      <c r="L30" s="27" t="str">
        <f aca="false">IF($A30="","",COUNTIFS(Tasks!$B$5:$B$504,$A30,Tasks!$H$5:$H$504,"Done"))</f>
        <v/>
      </c>
      <c r="M30" s="27" t="str">
        <f aca="false">IF($A30="","",K30-L30-COUNTIFS(Tasks!$B$5:$B$504,$A30,Tasks!$H$5:$H$504,"Cancelled"))</f>
        <v/>
      </c>
      <c r="N30" s="27" t="str">
        <f aca="false">IF($A30="","",COUNTIFS(Tasks!$B$5:$B$504,$A30,Tasks!$M$5:$M$504,"OVERDUE"))</f>
        <v/>
      </c>
      <c r="O30" s="28" t="str">
        <f aca="false">IF(OR($A30="",K30=0),"",L30/(K30-COUNTIFS(Tasks!$B$5:$B$504,$A30,Tasks!$H$5:$H$504,"Cancelled")))</f>
        <v/>
      </c>
      <c r="P30" s="25"/>
      <c r="Q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  <c r="G31" s="25"/>
      <c r="H31" s="26"/>
      <c r="I31" s="26"/>
      <c r="J31" s="25"/>
      <c r="K31" s="27" t="str">
        <f aca="false">IF($A31="","",COUNTIF(Tasks!$B$5:$B$504,$A31))</f>
        <v/>
      </c>
      <c r="L31" s="27" t="str">
        <f aca="false">IF($A31="","",COUNTIFS(Tasks!$B$5:$B$504,$A31,Tasks!$H$5:$H$504,"Done"))</f>
        <v/>
      </c>
      <c r="M31" s="27" t="str">
        <f aca="false">IF($A31="","",K31-L31-COUNTIFS(Tasks!$B$5:$B$504,$A31,Tasks!$H$5:$H$504,"Cancelled"))</f>
        <v/>
      </c>
      <c r="N31" s="27" t="str">
        <f aca="false">IF($A31="","",COUNTIFS(Tasks!$B$5:$B$504,$A31,Tasks!$M$5:$M$504,"OVERDUE"))</f>
        <v/>
      </c>
      <c r="O31" s="28" t="str">
        <f aca="false">IF(OR($A31="",K31=0),"",L31/(K31-COUNTIFS(Tasks!$B$5:$B$504,$A31,Tasks!$H$5:$H$504,"Cancelled")))</f>
        <v/>
      </c>
      <c r="P31" s="25"/>
      <c r="Q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  <c r="G32" s="25"/>
      <c r="H32" s="26"/>
      <c r="I32" s="26"/>
      <c r="J32" s="25"/>
      <c r="K32" s="27" t="str">
        <f aca="false">IF($A32="","",COUNTIF(Tasks!$B$5:$B$504,$A32))</f>
        <v/>
      </c>
      <c r="L32" s="27" t="str">
        <f aca="false">IF($A32="","",COUNTIFS(Tasks!$B$5:$B$504,$A32,Tasks!$H$5:$H$504,"Done"))</f>
        <v/>
      </c>
      <c r="M32" s="27" t="str">
        <f aca="false">IF($A32="","",K32-L32-COUNTIFS(Tasks!$B$5:$B$504,$A32,Tasks!$H$5:$H$504,"Cancelled"))</f>
        <v/>
      </c>
      <c r="N32" s="27" t="str">
        <f aca="false">IF($A32="","",COUNTIFS(Tasks!$B$5:$B$504,$A32,Tasks!$M$5:$M$504,"OVERDUE"))</f>
        <v/>
      </c>
      <c r="O32" s="28" t="str">
        <f aca="false">IF(OR($A32="",K32=0),"",L32/(K32-COUNTIFS(Tasks!$B$5:$B$504,$A32,Tasks!$H$5:$H$504,"Cancelled")))</f>
        <v/>
      </c>
      <c r="P32" s="25"/>
      <c r="Q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  <c r="G33" s="25"/>
      <c r="H33" s="26"/>
      <c r="I33" s="26"/>
      <c r="J33" s="25"/>
      <c r="K33" s="27" t="str">
        <f aca="false">IF($A33="","",COUNTIF(Tasks!$B$5:$B$504,$A33))</f>
        <v/>
      </c>
      <c r="L33" s="27" t="str">
        <f aca="false">IF($A33="","",COUNTIFS(Tasks!$B$5:$B$504,$A33,Tasks!$H$5:$H$504,"Done"))</f>
        <v/>
      </c>
      <c r="M33" s="27" t="str">
        <f aca="false">IF($A33="","",K33-L33-COUNTIFS(Tasks!$B$5:$B$504,$A33,Tasks!$H$5:$H$504,"Cancelled"))</f>
        <v/>
      </c>
      <c r="N33" s="27" t="str">
        <f aca="false">IF($A33="","",COUNTIFS(Tasks!$B$5:$B$504,$A33,Tasks!$M$5:$M$504,"OVERDUE"))</f>
        <v/>
      </c>
      <c r="O33" s="28" t="str">
        <f aca="false">IF(OR($A33="",K33=0),"",L33/(K33-COUNTIFS(Tasks!$B$5:$B$504,$A33,Tasks!$H$5:$H$504,"Cancelled")))</f>
        <v/>
      </c>
      <c r="P33" s="25"/>
      <c r="Q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  <c r="G34" s="25"/>
      <c r="H34" s="26"/>
      <c r="I34" s="26"/>
      <c r="J34" s="25"/>
      <c r="K34" s="27" t="str">
        <f aca="false">IF($A34="","",COUNTIF(Tasks!$B$5:$B$504,$A34))</f>
        <v/>
      </c>
      <c r="L34" s="27" t="str">
        <f aca="false">IF($A34="","",COUNTIFS(Tasks!$B$5:$B$504,$A34,Tasks!$H$5:$H$504,"Done"))</f>
        <v/>
      </c>
      <c r="M34" s="27" t="str">
        <f aca="false">IF($A34="","",K34-L34-COUNTIFS(Tasks!$B$5:$B$504,$A34,Tasks!$H$5:$H$504,"Cancelled"))</f>
        <v/>
      </c>
      <c r="N34" s="27" t="str">
        <f aca="false">IF($A34="","",COUNTIFS(Tasks!$B$5:$B$504,$A34,Tasks!$M$5:$M$504,"OVERDUE"))</f>
        <v/>
      </c>
      <c r="O34" s="28" t="str">
        <f aca="false">IF(OR($A34="",K34=0),"",L34/(K34-COUNTIFS(Tasks!$B$5:$B$504,$A34,Tasks!$H$5:$H$504,"Cancelled")))</f>
        <v/>
      </c>
      <c r="P34" s="25"/>
      <c r="Q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  <c r="G35" s="25"/>
      <c r="H35" s="26"/>
      <c r="I35" s="26"/>
      <c r="J35" s="25"/>
      <c r="K35" s="27" t="str">
        <f aca="false">IF($A35="","",COUNTIF(Tasks!$B$5:$B$504,$A35))</f>
        <v/>
      </c>
      <c r="L35" s="27" t="str">
        <f aca="false">IF($A35="","",COUNTIFS(Tasks!$B$5:$B$504,$A35,Tasks!$H$5:$H$504,"Done"))</f>
        <v/>
      </c>
      <c r="M35" s="27" t="str">
        <f aca="false">IF($A35="","",K35-L35-COUNTIFS(Tasks!$B$5:$B$504,$A35,Tasks!$H$5:$H$504,"Cancelled"))</f>
        <v/>
      </c>
      <c r="N35" s="27" t="str">
        <f aca="false">IF($A35="","",COUNTIFS(Tasks!$B$5:$B$504,$A35,Tasks!$M$5:$M$504,"OVERDUE"))</f>
        <v/>
      </c>
      <c r="O35" s="28" t="str">
        <f aca="false">IF(OR($A35="",K35=0),"",L35/(K35-COUNTIFS(Tasks!$B$5:$B$504,$A35,Tasks!$H$5:$H$504,"Cancelled")))</f>
        <v/>
      </c>
      <c r="P35" s="25"/>
      <c r="Q35" s="25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  <c r="H36" s="26"/>
      <c r="I36" s="26"/>
      <c r="J36" s="25"/>
      <c r="K36" s="27" t="str">
        <f aca="false">IF($A36="","",COUNTIF(Tasks!$B$5:$B$504,$A36))</f>
        <v/>
      </c>
      <c r="L36" s="27" t="str">
        <f aca="false">IF($A36="","",COUNTIFS(Tasks!$B$5:$B$504,$A36,Tasks!$H$5:$H$504,"Done"))</f>
        <v/>
      </c>
      <c r="M36" s="27" t="str">
        <f aca="false">IF($A36="","",K36-L36-COUNTIFS(Tasks!$B$5:$B$504,$A36,Tasks!$H$5:$H$504,"Cancelled"))</f>
        <v/>
      </c>
      <c r="N36" s="27" t="str">
        <f aca="false">IF($A36="","",COUNTIFS(Tasks!$B$5:$B$504,$A36,Tasks!$M$5:$M$504,"OVERDUE"))</f>
        <v/>
      </c>
      <c r="O36" s="28" t="str">
        <f aca="false">IF(OR($A36="",K36=0),"",L36/(K36-COUNTIFS(Tasks!$B$5:$B$504,$A36,Tasks!$H$5:$H$504,"Cancelled")))</f>
        <v/>
      </c>
      <c r="P36" s="25"/>
      <c r="Q36" s="25"/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5"/>
      <c r="G37" s="25"/>
      <c r="H37" s="26"/>
      <c r="I37" s="26"/>
      <c r="J37" s="25"/>
      <c r="K37" s="27" t="str">
        <f aca="false">IF($A37="","",COUNTIF(Tasks!$B$5:$B$504,$A37))</f>
        <v/>
      </c>
      <c r="L37" s="27" t="str">
        <f aca="false">IF($A37="","",COUNTIFS(Tasks!$B$5:$B$504,$A37,Tasks!$H$5:$H$504,"Done"))</f>
        <v/>
      </c>
      <c r="M37" s="27" t="str">
        <f aca="false">IF($A37="","",K37-L37-COUNTIFS(Tasks!$B$5:$B$504,$A37,Tasks!$H$5:$H$504,"Cancelled"))</f>
        <v/>
      </c>
      <c r="N37" s="27" t="str">
        <f aca="false">IF($A37="","",COUNTIFS(Tasks!$B$5:$B$504,$A37,Tasks!$M$5:$M$504,"OVERDUE"))</f>
        <v/>
      </c>
      <c r="O37" s="28" t="str">
        <f aca="false">IF(OR($A37="",K37=0),"",L37/(K37-COUNTIFS(Tasks!$B$5:$B$504,$A37,Tasks!$H$5:$H$504,"Cancelled")))</f>
        <v/>
      </c>
      <c r="P37" s="25"/>
      <c r="Q37" s="25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6"/>
      <c r="I38" s="26"/>
      <c r="J38" s="25"/>
      <c r="K38" s="27" t="str">
        <f aca="false">IF($A38="","",COUNTIF(Tasks!$B$5:$B$504,$A38))</f>
        <v/>
      </c>
      <c r="L38" s="27" t="str">
        <f aca="false">IF($A38="","",COUNTIFS(Tasks!$B$5:$B$504,$A38,Tasks!$H$5:$H$504,"Done"))</f>
        <v/>
      </c>
      <c r="M38" s="27" t="str">
        <f aca="false">IF($A38="","",K38-L38-COUNTIFS(Tasks!$B$5:$B$504,$A38,Tasks!$H$5:$H$504,"Cancelled"))</f>
        <v/>
      </c>
      <c r="N38" s="27" t="str">
        <f aca="false">IF($A38="","",COUNTIFS(Tasks!$B$5:$B$504,$A38,Tasks!$M$5:$M$504,"OVERDUE"))</f>
        <v/>
      </c>
      <c r="O38" s="28" t="str">
        <f aca="false">IF(OR($A38="",K38=0),"",L38/(K38-COUNTIFS(Tasks!$B$5:$B$504,$A38,Tasks!$H$5:$H$504,"Cancelled")))</f>
        <v/>
      </c>
      <c r="P38" s="25"/>
      <c r="Q38" s="25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6"/>
      <c r="I39" s="26"/>
      <c r="J39" s="25"/>
      <c r="K39" s="27" t="str">
        <f aca="false">IF($A39="","",COUNTIF(Tasks!$B$5:$B$504,$A39))</f>
        <v/>
      </c>
      <c r="L39" s="27" t="str">
        <f aca="false">IF($A39="","",COUNTIFS(Tasks!$B$5:$B$504,$A39,Tasks!$H$5:$H$504,"Done"))</f>
        <v/>
      </c>
      <c r="M39" s="27" t="str">
        <f aca="false">IF($A39="","",K39-L39-COUNTIFS(Tasks!$B$5:$B$504,$A39,Tasks!$H$5:$H$504,"Cancelled"))</f>
        <v/>
      </c>
      <c r="N39" s="27" t="str">
        <f aca="false">IF($A39="","",COUNTIFS(Tasks!$B$5:$B$504,$A39,Tasks!$M$5:$M$504,"OVERDUE"))</f>
        <v/>
      </c>
      <c r="O39" s="28" t="str">
        <f aca="false">IF(OR($A39="",K39=0),"",L39/(K39-COUNTIFS(Tasks!$B$5:$B$504,$A39,Tasks!$H$5:$H$504,"Cancelled")))</f>
        <v/>
      </c>
      <c r="P39" s="25"/>
      <c r="Q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5"/>
      <c r="G40" s="25"/>
      <c r="H40" s="26"/>
      <c r="I40" s="26"/>
      <c r="J40" s="25"/>
      <c r="K40" s="27" t="str">
        <f aca="false">IF($A40="","",COUNTIF(Tasks!$B$5:$B$504,$A40))</f>
        <v/>
      </c>
      <c r="L40" s="27" t="str">
        <f aca="false">IF($A40="","",COUNTIFS(Tasks!$B$5:$B$504,$A40,Tasks!$H$5:$H$504,"Done"))</f>
        <v/>
      </c>
      <c r="M40" s="27" t="str">
        <f aca="false">IF($A40="","",K40-L40-COUNTIFS(Tasks!$B$5:$B$504,$A40,Tasks!$H$5:$H$504,"Cancelled"))</f>
        <v/>
      </c>
      <c r="N40" s="27" t="str">
        <f aca="false">IF($A40="","",COUNTIFS(Tasks!$B$5:$B$504,$A40,Tasks!$M$5:$M$504,"OVERDUE"))</f>
        <v/>
      </c>
      <c r="O40" s="28" t="str">
        <f aca="false">IF(OR($A40="",K40=0),"",L40/(K40-COUNTIFS(Tasks!$B$5:$B$504,$A40,Tasks!$H$5:$H$504,"Cancelled")))</f>
        <v/>
      </c>
      <c r="P40" s="25"/>
      <c r="Q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5"/>
      <c r="G41" s="25"/>
      <c r="H41" s="26"/>
      <c r="I41" s="26"/>
      <c r="J41" s="25"/>
      <c r="K41" s="27" t="str">
        <f aca="false">IF($A41="","",COUNTIF(Tasks!$B$5:$B$504,$A41))</f>
        <v/>
      </c>
      <c r="L41" s="27" t="str">
        <f aca="false">IF($A41="","",COUNTIFS(Tasks!$B$5:$B$504,$A41,Tasks!$H$5:$H$504,"Done"))</f>
        <v/>
      </c>
      <c r="M41" s="27" t="str">
        <f aca="false">IF($A41="","",K41-L41-COUNTIFS(Tasks!$B$5:$B$504,$A41,Tasks!$H$5:$H$504,"Cancelled"))</f>
        <v/>
      </c>
      <c r="N41" s="27" t="str">
        <f aca="false">IF($A41="","",COUNTIFS(Tasks!$B$5:$B$504,$A41,Tasks!$M$5:$M$504,"OVERDUE"))</f>
        <v/>
      </c>
      <c r="O41" s="28" t="str">
        <f aca="false">IF(OR($A41="",K41=0),"",L41/(K41-COUNTIFS(Tasks!$B$5:$B$504,$A41,Tasks!$H$5:$H$504,"Cancelled")))</f>
        <v/>
      </c>
      <c r="P41" s="25"/>
      <c r="Q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5"/>
      <c r="G42" s="25"/>
      <c r="H42" s="26"/>
      <c r="I42" s="26"/>
      <c r="J42" s="25"/>
      <c r="K42" s="27" t="str">
        <f aca="false">IF($A42="","",COUNTIF(Tasks!$B$5:$B$504,$A42))</f>
        <v/>
      </c>
      <c r="L42" s="27" t="str">
        <f aca="false">IF($A42="","",COUNTIFS(Tasks!$B$5:$B$504,$A42,Tasks!$H$5:$H$504,"Done"))</f>
        <v/>
      </c>
      <c r="M42" s="27" t="str">
        <f aca="false">IF($A42="","",K42-L42-COUNTIFS(Tasks!$B$5:$B$504,$A42,Tasks!$H$5:$H$504,"Cancelled"))</f>
        <v/>
      </c>
      <c r="N42" s="27" t="str">
        <f aca="false">IF($A42="","",COUNTIFS(Tasks!$B$5:$B$504,$A42,Tasks!$M$5:$M$504,"OVERDUE"))</f>
        <v/>
      </c>
      <c r="O42" s="28" t="str">
        <f aca="false">IF(OR($A42="",K42=0),"",L42/(K42-COUNTIFS(Tasks!$B$5:$B$504,$A42,Tasks!$H$5:$H$504,"Cancelled")))</f>
        <v/>
      </c>
      <c r="P42" s="25"/>
      <c r="Q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5"/>
      <c r="G43" s="25"/>
      <c r="H43" s="26"/>
      <c r="I43" s="26"/>
      <c r="J43" s="25"/>
      <c r="K43" s="27" t="str">
        <f aca="false">IF($A43="","",COUNTIF(Tasks!$B$5:$B$504,$A43))</f>
        <v/>
      </c>
      <c r="L43" s="27" t="str">
        <f aca="false">IF($A43="","",COUNTIFS(Tasks!$B$5:$B$504,$A43,Tasks!$H$5:$H$504,"Done"))</f>
        <v/>
      </c>
      <c r="M43" s="27" t="str">
        <f aca="false">IF($A43="","",K43-L43-COUNTIFS(Tasks!$B$5:$B$504,$A43,Tasks!$H$5:$H$504,"Cancelled"))</f>
        <v/>
      </c>
      <c r="N43" s="27" t="str">
        <f aca="false">IF($A43="","",COUNTIFS(Tasks!$B$5:$B$504,$A43,Tasks!$M$5:$M$504,"OVERDUE"))</f>
        <v/>
      </c>
      <c r="O43" s="28" t="str">
        <f aca="false">IF(OR($A43="",K43=0),"",L43/(K43-COUNTIFS(Tasks!$B$5:$B$504,$A43,Tasks!$H$5:$H$504,"Cancelled")))</f>
        <v/>
      </c>
      <c r="P43" s="25"/>
      <c r="Q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5"/>
      <c r="G44" s="25"/>
      <c r="H44" s="26"/>
      <c r="I44" s="26"/>
      <c r="J44" s="25"/>
      <c r="K44" s="27" t="str">
        <f aca="false">IF($A44="","",COUNTIF(Tasks!$B$5:$B$504,$A44))</f>
        <v/>
      </c>
      <c r="L44" s="27" t="str">
        <f aca="false">IF($A44="","",COUNTIFS(Tasks!$B$5:$B$504,$A44,Tasks!$H$5:$H$504,"Done"))</f>
        <v/>
      </c>
      <c r="M44" s="27" t="str">
        <f aca="false">IF($A44="","",K44-L44-COUNTIFS(Tasks!$B$5:$B$504,$A44,Tasks!$H$5:$H$504,"Cancelled"))</f>
        <v/>
      </c>
      <c r="N44" s="27" t="str">
        <f aca="false">IF($A44="","",COUNTIFS(Tasks!$B$5:$B$504,$A44,Tasks!$M$5:$M$504,"OVERDUE"))</f>
        <v/>
      </c>
      <c r="O44" s="28" t="str">
        <f aca="false">IF(OR($A44="",K44=0),"",L44/(K44-COUNTIFS(Tasks!$B$5:$B$504,$A44,Tasks!$H$5:$H$504,"Cancelled")))</f>
        <v/>
      </c>
      <c r="P44" s="25"/>
      <c r="Q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5"/>
      <c r="G45" s="25"/>
      <c r="H45" s="26"/>
      <c r="I45" s="26"/>
      <c r="J45" s="25"/>
      <c r="K45" s="27" t="str">
        <f aca="false">IF($A45="","",COUNTIF(Tasks!$B$5:$B$504,$A45))</f>
        <v/>
      </c>
      <c r="L45" s="27" t="str">
        <f aca="false">IF($A45="","",COUNTIFS(Tasks!$B$5:$B$504,$A45,Tasks!$H$5:$H$504,"Done"))</f>
        <v/>
      </c>
      <c r="M45" s="27" t="str">
        <f aca="false">IF($A45="","",K45-L45-COUNTIFS(Tasks!$B$5:$B$504,$A45,Tasks!$H$5:$H$504,"Cancelled"))</f>
        <v/>
      </c>
      <c r="N45" s="27" t="str">
        <f aca="false">IF($A45="","",COUNTIFS(Tasks!$B$5:$B$504,$A45,Tasks!$M$5:$M$504,"OVERDUE"))</f>
        <v/>
      </c>
      <c r="O45" s="28" t="str">
        <f aca="false">IF(OR($A45="",K45=0),"",L45/(K45-COUNTIFS(Tasks!$B$5:$B$504,$A45,Tasks!$H$5:$H$504,"Cancelled")))</f>
        <v/>
      </c>
      <c r="P45" s="25"/>
      <c r="Q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5"/>
      <c r="G46" s="25"/>
      <c r="H46" s="26"/>
      <c r="I46" s="26"/>
      <c r="J46" s="25"/>
      <c r="K46" s="27" t="str">
        <f aca="false">IF($A46="","",COUNTIF(Tasks!$B$5:$B$504,$A46))</f>
        <v/>
      </c>
      <c r="L46" s="27" t="str">
        <f aca="false">IF($A46="","",COUNTIFS(Tasks!$B$5:$B$504,$A46,Tasks!$H$5:$H$504,"Done"))</f>
        <v/>
      </c>
      <c r="M46" s="27" t="str">
        <f aca="false">IF($A46="","",K46-L46-COUNTIFS(Tasks!$B$5:$B$504,$A46,Tasks!$H$5:$H$504,"Cancelled"))</f>
        <v/>
      </c>
      <c r="N46" s="27" t="str">
        <f aca="false">IF($A46="","",COUNTIFS(Tasks!$B$5:$B$504,$A46,Tasks!$M$5:$M$504,"OVERDUE"))</f>
        <v/>
      </c>
      <c r="O46" s="28" t="str">
        <f aca="false">IF(OR($A46="",K46=0),"",L46/(K46-COUNTIFS(Tasks!$B$5:$B$504,$A46,Tasks!$H$5:$H$504,"Cancelled")))</f>
        <v/>
      </c>
      <c r="P46" s="25"/>
      <c r="Q46" s="25"/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5"/>
      <c r="G47" s="25"/>
      <c r="H47" s="26"/>
      <c r="I47" s="26"/>
      <c r="J47" s="25"/>
      <c r="K47" s="27" t="str">
        <f aca="false">IF($A47="","",COUNTIF(Tasks!$B$5:$B$504,$A47))</f>
        <v/>
      </c>
      <c r="L47" s="27" t="str">
        <f aca="false">IF($A47="","",COUNTIFS(Tasks!$B$5:$B$504,$A47,Tasks!$H$5:$H$504,"Done"))</f>
        <v/>
      </c>
      <c r="M47" s="27" t="str">
        <f aca="false">IF($A47="","",K47-L47-COUNTIFS(Tasks!$B$5:$B$504,$A47,Tasks!$H$5:$H$504,"Cancelled"))</f>
        <v/>
      </c>
      <c r="N47" s="27" t="str">
        <f aca="false">IF($A47="","",COUNTIFS(Tasks!$B$5:$B$504,$A47,Tasks!$M$5:$M$504,"OVERDUE"))</f>
        <v/>
      </c>
      <c r="O47" s="28" t="str">
        <f aca="false">IF(OR($A47="",K47=0),"",L47/(K47-COUNTIFS(Tasks!$B$5:$B$504,$A47,Tasks!$H$5:$H$504,"Cancelled")))</f>
        <v/>
      </c>
      <c r="P47" s="25"/>
      <c r="Q47" s="25"/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5"/>
      <c r="G48" s="25"/>
      <c r="H48" s="26"/>
      <c r="I48" s="26"/>
      <c r="J48" s="25"/>
      <c r="K48" s="27" t="str">
        <f aca="false">IF($A48="","",COUNTIF(Tasks!$B$5:$B$504,$A48))</f>
        <v/>
      </c>
      <c r="L48" s="27" t="str">
        <f aca="false">IF($A48="","",COUNTIFS(Tasks!$B$5:$B$504,$A48,Tasks!$H$5:$H$504,"Done"))</f>
        <v/>
      </c>
      <c r="M48" s="27" t="str">
        <f aca="false">IF($A48="","",K48-L48-COUNTIFS(Tasks!$B$5:$B$504,$A48,Tasks!$H$5:$H$504,"Cancelled"))</f>
        <v/>
      </c>
      <c r="N48" s="27" t="str">
        <f aca="false">IF($A48="","",COUNTIFS(Tasks!$B$5:$B$504,$A48,Tasks!$M$5:$M$504,"OVERDUE"))</f>
        <v/>
      </c>
      <c r="O48" s="28" t="str">
        <f aca="false">IF(OR($A48="",K48=0),"",L48/(K48-COUNTIFS(Tasks!$B$5:$B$504,$A48,Tasks!$H$5:$H$504,"Cancelled")))</f>
        <v/>
      </c>
      <c r="P48" s="25"/>
      <c r="Q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5"/>
      <c r="G49" s="25"/>
      <c r="H49" s="26"/>
      <c r="I49" s="26"/>
      <c r="J49" s="25"/>
      <c r="K49" s="27" t="str">
        <f aca="false">IF($A49="","",COUNTIF(Tasks!$B$5:$B$504,$A49))</f>
        <v/>
      </c>
      <c r="L49" s="27" t="str">
        <f aca="false">IF($A49="","",COUNTIFS(Tasks!$B$5:$B$504,$A49,Tasks!$H$5:$H$504,"Done"))</f>
        <v/>
      </c>
      <c r="M49" s="27" t="str">
        <f aca="false">IF($A49="","",K49-L49-COUNTIFS(Tasks!$B$5:$B$504,$A49,Tasks!$H$5:$H$504,"Cancelled"))</f>
        <v/>
      </c>
      <c r="N49" s="27" t="str">
        <f aca="false">IF($A49="","",COUNTIFS(Tasks!$B$5:$B$504,$A49,Tasks!$M$5:$M$504,"OVERDUE"))</f>
        <v/>
      </c>
      <c r="O49" s="28" t="str">
        <f aca="false">IF(OR($A49="",K49=0),"",L49/(K49-COUNTIFS(Tasks!$B$5:$B$504,$A49,Tasks!$H$5:$H$504,"Cancelled")))</f>
        <v/>
      </c>
      <c r="P49" s="25"/>
      <c r="Q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5"/>
      <c r="G50" s="25"/>
      <c r="H50" s="26"/>
      <c r="I50" s="26"/>
      <c r="J50" s="25"/>
      <c r="K50" s="27" t="str">
        <f aca="false">IF($A50="","",COUNTIF(Tasks!$B$5:$B$504,$A50))</f>
        <v/>
      </c>
      <c r="L50" s="27" t="str">
        <f aca="false">IF($A50="","",COUNTIFS(Tasks!$B$5:$B$504,$A50,Tasks!$H$5:$H$504,"Done"))</f>
        <v/>
      </c>
      <c r="M50" s="27" t="str">
        <f aca="false">IF($A50="","",K50-L50-COUNTIFS(Tasks!$B$5:$B$504,$A50,Tasks!$H$5:$H$504,"Cancelled"))</f>
        <v/>
      </c>
      <c r="N50" s="27" t="str">
        <f aca="false">IF($A50="","",COUNTIFS(Tasks!$B$5:$B$504,$A50,Tasks!$M$5:$M$504,"OVERDUE"))</f>
        <v/>
      </c>
      <c r="O50" s="28" t="str">
        <f aca="false">IF(OR($A50="",K50=0),"",L50/(K50-COUNTIFS(Tasks!$B$5:$B$504,$A50,Tasks!$H$5:$H$504,"Cancelled")))</f>
        <v/>
      </c>
      <c r="P50" s="25"/>
      <c r="Q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5"/>
      <c r="G51" s="25"/>
      <c r="H51" s="26"/>
      <c r="I51" s="26"/>
      <c r="J51" s="25"/>
      <c r="K51" s="27" t="str">
        <f aca="false">IF($A51="","",COUNTIF(Tasks!$B$5:$B$504,$A51))</f>
        <v/>
      </c>
      <c r="L51" s="27" t="str">
        <f aca="false">IF($A51="","",COUNTIFS(Tasks!$B$5:$B$504,$A51,Tasks!$H$5:$H$504,"Done"))</f>
        <v/>
      </c>
      <c r="M51" s="27" t="str">
        <f aca="false">IF($A51="","",K51-L51-COUNTIFS(Tasks!$B$5:$B$504,$A51,Tasks!$H$5:$H$504,"Cancelled"))</f>
        <v/>
      </c>
      <c r="N51" s="27" t="str">
        <f aca="false">IF($A51="","",COUNTIFS(Tasks!$B$5:$B$504,$A51,Tasks!$M$5:$M$504,"OVERDUE"))</f>
        <v/>
      </c>
      <c r="O51" s="28" t="str">
        <f aca="false">IF(OR($A51="",K51=0),"",L51/(K51-COUNTIFS(Tasks!$B$5:$B$504,$A51,Tasks!$H$5:$H$504,"Cancelled")))</f>
        <v/>
      </c>
      <c r="P51" s="25"/>
      <c r="Q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5"/>
      <c r="G52" s="25"/>
      <c r="H52" s="26"/>
      <c r="I52" s="26"/>
      <c r="J52" s="25"/>
      <c r="K52" s="27" t="str">
        <f aca="false">IF($A52="","",COUNTIF(Tasks!$B$5:$B$504,$A52))</f>
        <v/>
      </c>
      <c r="L52" s="27" t="str">
        <f aca="false">IF($A52="","",COUNTIFS(Tasks!$B$5:$B$504,$A52,Tasks!$H$5:$H$504,"Done"))</f>
        <v/>
      </c>
      <c r="M52" s="27" t="str">
        <f aca="false">IF($A52="","",K52-L52-COUNTIFS(Tasks!$B$5:$B$504,$A52,Tasks!$H$5:$H$504,"Cancelled"))</f>
        <v/>
      </c>
      <c r="N52" s="27" t="str">
        <f aca="false">IF($A52="","",COUNTIFS(Tasks!$B$5:$B$504,$A52,Tasks!$M$5:$M$504,"OVERDUE"))</f>
        <v/>
      </c>
      <c r="O52" s="28" t="str">
        <f aca="false">IF(OR($A52="",K52=0),"",L52/(K52-COUNTIFS(Tasks!$B$5:$B$504,$A52,Tasks!$H$5:$H$504,"Cancelled")))</f>
        <v/>
      </c>
      <c r="P52" s="25"/>
      <c r="Q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5"/>
      <c r="G53" s="25"/>
      <c r="H53" s="26"/>
      <c r="I53" s="26"/>
      <c r="J53" s="25"/>
      <c r="K53" s="27" t="str">
        <f aca="false">IF($A53="","",COUNTIF(Tasks!$B$5:$B$504,$A53))</f>
        <v/>
      </c>
      <c r="L53" s="27" t="str">
        <f aca="false">IF($A53="","",COUNTIFS(Tasks!$B$5:$B$504,$A53,Tasks!$H$5:$H$504,"Done"))</f>
        <v/>
      </c>
      <c r="M53" s="27" t="str">
        <f aca="false">IF($A53="","",K53-L53-COUNTIFS(Tasks!$B$5:$B$504,$A53,Tasks!$H$5:$H$504,"Cancelled"))</f>
        <v/>
      </c>
      <c r="N53" s="27" t="str">
        <f aca="false">IF($A53="","",COUNTIFS(Tasks!$B$5:$B$504,$A53,Tasks!$M$5:$M$504,"OVERDUE"))</f>
        <v/>
      </c>
      <c r="O53" s="28" t="str">
        <f aca="false">IF(OR($A53="",K53=0),"",L53/(K53-COUNTIFS(Tasks!$B$5:$B$504,$A53,Tasks!$H$5:$H$504,"Cancelled")))</f>
        <v/>
      </c>
      <c r="P53" s="25"/>
      <c r="Q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5"/>
      <c r="G54" s="25"/>
      <c r="H54" s="26"/>
      <c r="I54" s="26"/>
      <c r="J54" s="25"/>
      <c r="K54" s="27" t="str">
        <f aca="false">IF($A54="","",COUNTIF(Tasks!$B$5:$B$504,$A54))</f>
        <v/>
      </c>
      <c r="L54" s="27" t="str">
        <f aca="false">IF($A54="","",COUNTIFS(Tasks!$B$5:$B$504,$A54,Tasks!$H$5:$H$504,"Done"))</f>
        <v/>
      </c>
      <c r="M54" s="27" t="str">
        <f aca="false">IF($A54="","",K54-L54-COUNTIFS(Tasks!$B$5:$B$504,$A54,Tasks!$H$5:$H$504,"Cancelled"))</f>
        <v/>
      </c>
      <c r="N54" s="27" t="str">
        <f aca="false">IF($A54="","",COUNTIFS(Tasks!$B$5:$B$504,$A54,Tasks!$M$5:$M$504,"OVERDUE"))</f>
        <v/>
      </c>
      <c r="O54" s="28" t="str">
        <f aca="false">IF(OR($A54="",K54=0),"",L54/(K54-COUNTIFS(Tasks!$B$5:$B$504,$A54,Tasks!$H$5:$H$504,"Cancelled")))</f>
        <v/>
      </c>
      <c r="P54" s="25"/>
      <c r="Q54" s="25"/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5"/>
      <c r="G55" s="25"/>
      <c r="H55" s="26"/>
      <c r="I55" s="26"/>
      <c r="J55" s="25"/>
      <c r="K55" s="27" t="str">
        <f aca="false">IF($A55="","",COUNTIF(Tasks!$B$5:$B$504,$A55))</f>
        <v/>
      </c>
      <c r="L55" s="27" t="str">
        <f aca="false">IF($A55="","",COUNTIFS(Tasks!$B$5:$B$504,$A55,Tasks!$H$5:$H$504,"Done"))</f>
        <v/>
      </c>
      <c r="M55" s="27" t="str">
        <f aca="false">IF($A55="","",K55-L55-COUNTIFS(Tasks!$B$5:$B$504,$A55,Tasks!$H$5:$H$504,"Cancelled"))</f>
        <v/>
      </c>
      <c r="N55" s="27" t="str">
        <f aca="false">IF($A55="","",COUNTIFS(Tasks!$B$5:$B$504,$A55,Tasks!$M$5:$M$504,"OVERDUE"))</f>
        <v/>
      </c>
      <c r="O55" s="28" t="str">
        <f aca="false">IF(OR($A55="",K55=0),"",L55/(K55-COUNTIFS(Tasks!$B$5:$B$504,$A55,Tasks!$H$5:$H$504,"Cancelled")))</f>
        <v/>
      </c>
      <c r="P55" s="25"/>
      <c r="Q55" s="25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5"/>
      <c r="G56" s="25"/>
      <c r="H56" s="26"/>
      <c r="I56" s="26"/>
      <c r="J56" s="25"/>
      <c r="K56" s="27" t="str">
        <f aca="false">IF($A56="","",COUNTIF(Tasks!$B$5:$B$504,$A56))</f>
        <v/>
      </c>
      <c r="L56" s="27" t="str">
        <f aca="false">IF($A56="","",COUNTIFS(Tasks!$B$5:$B$504,$A56,Tasks!$H$5:$H$504,"Done"))</f>
        <v/>
      </c>
      <c r="M56" s="27" t="str">
        <f aca="false">IF($A56="","",K56-L56-COUNTIFS(Tasks!$B$5:$B$504,$A56,Tasks!$H$5:$H$504,"Cancelled"))</f>
        <v/>
      </c>
      <c r="N56" s="27" t="str">
        <f aca="false">IF($A56="","",COUNTIFS(Tasks!$B$5:$B$504,$A56,Tasks!$M$5:$M$504,"OVERDUE"))</f>
        <v/>
      </c>
      <c r="O56" s="28" t="str">
        <f aca="false">IF(OR($A56="",K56=0),"",L56/(K56-COUNTIFS(Tasks!$B$5:$B$504,$A56,Tasks!$H$5:$H$504,"Cancelled")))</f>
        <v/>
      </c>
      <c r="P56" s="25"/>
      <c r="Q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5"/>
      <c r="G57" s="25"/>
      <c r="H57" s="26"/>
      <c r="I57" s="26"/>
      <c r="J57" s="25"/>
      <c r="K57" s="27" t="str">
        <f aca="false">IF($A57="","",COUNTIF(Tasks!$B$5:$B$504,$A57))</f>
        <v/>
      </c>
      <c r="L57" s="27" t="str">
        <f aca="false">IF($A57="","",COUNTIFS(Tasks!$B$5:$B$504,$A57,Tasks!$H$5:$H$504,"Done"))</f>
        <v/>
      </c>
      <c r="M57" s="27" t="str">
        <f aca="false">IF($A57="","",K57-L57-COUNTIFS(Tasks!$B$5:$B$504,$A57,Tasks!$H$5:$H$504,"Cancelled"))</f>
        <v/>
      </c>
      <c r="N57" s="27" t="str">
        <f aca="false">IF($A57="","",COUNTIFS(Tasks!$B$5:$B$504,$A57,Tasks!$M$5:$M$504,"OVERDUE"))</f>
        <v/>
      </c>
      <c r="O57" s="28" t="str">
        <f aca="false">IF(OR($A57="",K57=0),"",L57/(K57-COUNTIFS(Tasks!$B$5:$B$504,$A57,Tasks!$H$5:$H$504,"Cancelled")))</f>
        <v/>
      </c>
      <c r="P57" s="25"/>
      <c r="Q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5"/>
      <c r="G58" s="25"/>
      <c r="H58" s="26"/>
      <c r="I58" s="26"/>
      <c r="J58" s="25"/>
      <c r="K58" s="27" t="str">
        <f aca="false">IF($A58="","",COUNTIF(Tasks!$B$5:$B$504,$A58))</f>
        <v/>
      </c>
      <c r="L58" s="27" t="str">
        <f aca="false">IF($A58="","",COUNTIFS(Tasks!$B$5:$B$504,$A58,Tasks!$H$5:$H$504,"Done"))</f>
        <v/>
      </c>
      <c r="M58" s="27" t="str">
        <f aca="false">IF($A58="","",K58-L58-COUNTIFS(Tasks!$B$5:$B$504,$A58,Tasks!$H$5:$H$504,"Cancelled"))</f>
        <v/>
      </c>
      <c r="N58" s="27" t="str">
        <f aca="false">IF($A58="","",COUNTIFS(Tasks!$B$5:$B$504,$A58,Tasks!$M$5:$M$504,"OVERDUE"))</f>
        <v/>
      </c>
      <c r="O58" s="28" t="str">
        <f aca="false">IF(OR($A58="",K58=0),"",L58/(K58-COUNTIFS(Tasks!$B$5:$B$504,$A58,Tasks!$H$5:$H$504,"Cancelled")))</f>
        <v/>
      </c>
      <c r="P58" s="25"/>
      <c r="Q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5"/>
      <c r="G59" s="25"/>
      <c r="H59" s="26"/>
      <c r="I59" s="26"/>
      <c r="J59" s="25"/>
      <c r="K59" s="27" t="str">
        <f aca="false">IF($A59="","",COUNTIF(Tasks!$B$5:$B$504,$A59))</f>
        <v/>
      </c>
      <c r="L59" s="27" t="str">
        <f aca="false">IF($A59="","",COUNTIFS(Tasks!$B$5:$B$504,$A59,Tasks!$H$5:$H$504,"Done"))</f>
        <v/>
      </c>
      <c r="M59" s="27" t="str">
        <f aca="false">IF($A59="","",K59-L59-COUNTIFS(Tasks!$B$5:$B$504,$A59,Tasks!$H$5:$H$504,"Cancelled"))</f>
        <v/>
      </c>
      <c r="N59" s="27" t="str">
        <f aca="false">IF($A59="","",COUNTIFS(Tasks!$B$5:$B$504,$A59,Tasks!$M$5:$M$504,"OVERDUE"))</f>
        <v/>
      </c>
      <c r="O59" s="28" t="str">
        <f aca="false">IF(OR($A59="",K59=0),"",L59/(K59-COUNTIFS(Tasks!$B$5:$B$504,$A59,Tasks!$H$5:$H$504,"Cancelled")))</f>
        <v/>
      </c>
      <c r="P59" s="25"/>
      <c r="Q59" s="25"/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5"/>
      <c r="G60" s="25"/>
      <c r="H60" s="26"/>
      <c r="I60" s="26"/>
      <c r="J60" s="25"/>
      <c r="K60" s="27" t="str">
        <f aca="false">IF($A60="","",COUNTIF(Tasks!$B$5:$B$504,$A60))</f>
        <v/>
      </c>
      <c r="L60" s="27" t="str">
        <f aca="false">IF($A60="","",COUNTIFS(Tasks!$B$5:$B$504,$A60,Tasks!$H$5:$H$504,"Done"))</f>
        <v/>
      </c>
      <c r="M60" s="27" t="str">
        <f aca="false">IF($A60="","",K60-L60-COUNTIFS(Tasks!$B$5:$B$504,$A60,Tasks!$H$5:$H$504,"Cancelled"))</f>
        <v/>
      </c>
      <c r="N60" s="27" t="str">
        <f aca="false">IF($A60="","",COUNTIFS(Tasks!$B$5:$B$504,$A60,Tasks!$M$5:$M$504,"OVERDUE"))</f>
        <v/>
      </c>
      <c r="O60" s="28" t="str">
        <f aca="false">IF(OR($A60="",K60=0),"",L60/(K60-COUNTIFS(Tasks!$B$5:$B$504,$A60,Tasks!$H$5:$H$504,"Cancelled")))</f>
        <v/>
      </c>
      <c r="P60" s="25"/>
      <c r="Q60" s="25"/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5"/>
      <c r="G61" s="25"/>
      <c r="H61" s="26"/>
      <c r="I61" s="26"/>
      <c r="J61" s="25"/>
      <c r="K61" s="27" t="str">
        <f aca="false">IF($A61="","",COUNTIF(Tasks!$B$5:$B$504,$A61))</f>
        <v/>
      </c>
      <c r="L61" s="27" t="str">
        <f aca="false">IF($A61="","",COUNTIFS(Tasks!$B$5:$B$504,$A61,Tasks!$H$5:$H$504,"Done"))</f>
        <v/>
      </c>
      <c r="M61" s="27" t="str">
        <f aca="false">IF($A61="","",K61-L61-COUNTIFS(Tasks!$B$5:$B$504,$A61,Tasks!$H$5:$H$504,"Cancelled"))</f>
        <v/>
      </c>
      <c r="N61" s="27" t="str">
        <f aca="false">IF($A61="","",COUNTIFS(Tasks!$B$5:$B$504,$A61,Tasks!$M$5:$M$504,"OVERDUE"))</f>
        <v/>
      </c>
      <c r="O61" s="28" t="str">
        <f aca="false">IF(OR($A61="",K61=0),"",L61/(K61-COUNTIFS(Tasks!$B$5:$B$504,$A61,Tasks!$H$5:$H$504,"Cancelled")))</f>
        <v/>
      </c>
      <c r="P61" s="25"/>
      <c r="Q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6"/>
      <c r="I62" s="26"/>
      <c r="J62" s="25"/>
      <c r="K62" s="27" t="str">
        <f aca="false">IF($A62="","",COUNTIF(Tasks!$B$5:$B$504,$A62))</f>
        <v/>
      </c>
      <c r="L62" s="27" t="str">
        <f aca="false">IF($A62="","",COUNTIFS(Tasks!$B$5:$B$504,$A62,Tasks!$H$5:$H$504,"Done"))</f>
        <v/>
      </c>
      <c r="M62" s="27" t="str">
        <f aca="false">IF($A62="","",K62-L62-COUNTIFS(Tasks!$B$5:$B$504,$A62,Tasks!$H$5:$H$504,"Cancelled"))</f>
        <v/>
      </c>
      <c r="N62" s="27" t="str">
        <f aca="false">IF($A62="","",COUNTIFS(Tasks!$B$5:$B$504,$A62,Tasks!$M$5:$M$504,"OVERDUE"))</f>
        <v/>
      </c>
      <c r="O62" s="28" t="str">
        <f aca="false">IF(OR($A62="",K62=0),"",L62/(K62-COUNTIFS(Tasks!$B$5:$B$504,$A62,Tasks!$H$5:$H$504,"Cancelled")))</f>
        <v/>
      </c>
      <c r="P62" s="25"/>
      <c r="Q62" s="25"/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5"/>
      <c r="G63" s="25"/>
      <c r="H63" s="26"/>
      <c r="I63" s="26"/>
      <c r="J63" s="25"/>
      <c r="K63" s="27" t="str">
        <f aca="false">IF($A63="","",COUNTIF(Tasks!$B$5:$B$504,$A63))</f>
        <v/>
      </c>
      <c r="L63" s="27" t="str">
        <f aca="false">IF($A63="","",COUNTIFS(Tasks!$B$5:$B$504,$A63,Tasks!$H$5:$H$504,"Done"))</f>
        <v/>
      </c>
      <c r="M63" s="27" t="str">
        <f aca="false">IF($A63="","",K63-L63-COUNTIFS(Tasks!$B$5:$B$504,$A63,Tasks!$H$5:$H$504,"Cancelled"))</f>
        <v/>
      </c>
      <c r="N63" s="27" t="str">
        <f aca="false">IF($A63="","",COUNTIFS(Tasks!$B$5:$B$504,$A63,Tasks!$M$5:$M$504,"OVERDUE"))</f>
        <v/>
      </c>
      <c r="O63" s="28" t="str">
        <f aca="false">IF(OR($A63="",K63=0),"",L63/(K63-COUNTIFS(Tasks!$B$5:$B$504,$A63,Tasks!$H$5:$H$504,"Cancelled")))</f>
        <v/>
      </c>
      <c r="P63" s="25"/>
      <c r="Q63" s="25"/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5"/>
      <c r="G64" s="25"/>
      <c r="H64" s="26"/>
      <c r="I64" s="26"/>
      <c r="J64" s="25"/>
      <c r="K64" s="27" t="str">
        <f aca="false">IF($A64="","",COUNTIF(Tasks!$B$5:$B$504,$A64))</f>
        <v/>
      </c>
      <c r="L64" s="27" t="str">
        <f aca="false">IF($A64="","",COUNTIFS(Tasks!$B$5:$B$504,$A64,Tasks!$H$5:$H$504,"Done"))</f>
        <v/>
      </c>
      <c r="M64" s="27" t="str">
        <f aca="false">IF($A64="","",K64-L64-COUNTIFS(Tasks!$B$5:$B$504,$A64,Tasks!$H$5:$H$504,"Cancelled"))</f>
        <v/>
      </c>
      <c r="N64" s="27" t="str">
        <f aca="false">IF($A64="","",COUNTIFS(Tasks!$B$5:$B$504,$A64,Tasks!$M$5:$M$504,"OVERDUE"))</f>
        <v/>
      </c>
      <c r="O64" s="28" t="str">
        <f aca="false">IF(OR($A64="",K64=0),"",L64/(K64-COUNTIFS(Tasks!$B$5:$B$504,$A64,Tasks!$H$5:$H$504,"Cancelled")))</f>
        <v/>
      </c>
      <c r="P64" s="25"/>
      <c r="Q64" s="25"/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5"/>
      <c r="G65" s="25"/>
      <c r="H65" s="26"/>
      <c r="I65" s="26"/>
      <c r="J65" s="25"/>
      <c r="K65" s="27" t="str">
        <f aca="false">IF($A65="","",COUNTIF(Tasks!$B$5:$B$504,$A65))</f>
        <v/>
      </c>
      <c r="L65" s="27" t="str">
        <f aca="false">IF($A65="","",COUNTIFS(Tasks!$B$5:$B$504,$A65,Tasks!$H$5:$H$504,"Done"))</f>
        <v/>
      </c>
      <c r="M65" s="27" t="str">
        <f aca="false">IF($A65="","",K65-L65-COUNTIFS(Tasks!$B$5:$B$504,$A65,Tasks!$H$5:$H$504,"Cancelled"))</f>
        <v/>
      </c>
      <c r="N65" s="27" t="str">
        <f aca="false">IF($A65="","",COUNTIFS(Tasks!$B$5:$B$504,$A65,Tasks!$M$5:$M$504,"OVERDUE"))</f>
        <v/>
      </c>
      <c r="O65" s="28" t="str">
        <f aca="false">IF(OR($A65="",K65=0),"",L65/(K65-COUNTIFS(Tasks!$B$5:$B$504,$A65,Tasks!$H$5:$H$504,"Cancelled")))</f>
        <v/>
      </c>
      <c r="P65" s="25"/>
      <c r="Q65" s="25"/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5"/>
      <c r="G66" s="25"/>
      <c r="H66" s="26"/>
      <c r="I66" s="26"/>
      <c r="J66" s="25"/>
      <c r="K66" s="27" t="str">
        <f aca="false">IF($A66="","",COUNTIF(Tasks!$B$5:$B$504,$A66))</f>
        <v/>
      </c>
      <c r="L66" s="27" t="str">
        <f aca="false">IF($A66="","",COUNTIFS(Tasks!$B$5:$B$504,$A66,Tasks!$H$5:$H$504,"Done"))</f>
        <v/>
      </c>
      <c r="M66" s="27" t="str">
        <f aca="false">IF($A66="","",K66-L66-COUNTIFS(Tasks!$B$5:$B$504,$A66,Tasks!$H$5:$H$504,"Cancelled"))</f>
        <v/>
      </c>
      <c r="N66" s="27" t="str">
        <f aca="false">IF($A66="","",COUNTIFS(Tasks!$B$5:$B$504,$A66,Tasks!$M$5:$M$504,"OVERDUE"))</f>
        <v/>
      </c>
      <c r="O66" s="28" t="str">
        <f aca="false">IF(OR($A66="",K66=0),"",L66/(K66-COUNTIFS(Tasks!$B$5:$B$504,$A66,Tasks!$H$5:$H$504,"Cancelled")))</f>
        <v/>
      </c>
      <c r="P66" s="25"/>
      <c r="Q66" s="25"/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5"/>
      <c r="G67" s="25"/>
      <c r="H67" s="26"/>
      <c r="I67" s="26"/>
      <c r="J67" s="25"/>
      <c r="K67" s="27" t="str">
        <f aca="false">IF($A67="","",COUNTIF(Tasks!$B$5:$B$504,$A67))</f>
        <v/>
      </c>
      <c r="L67" s="27" t="str">
        <f aca="false">IF($A67="","",COUNTIFS(Tasks!$B$5:$B$504,$A67,Tasks!$H$5:$H$504,"Done"))</f>
        <v/>
      </c>
      <c r="M67" s="27" t="str">
        <f aca="false">IF($A67="","",K67-L67-COUNTIFS(Tasks!$B$5:$B$504,$A67,Tasks!$H$5:$H$504,"Cancelled"))</f>
        <v/>
      </c>
      <c r="N67" s="27" t="str">
        <f aca="false">IF($A67="","",COUNTIFS(Tasks!$B$5:$B$504,$A67,Tasks!$M$5:$M$504,"OVERDUE"))</f>
        <v/>
      </c>
      <c r="O67" s="28" t="str">
        <f aca="false">IF(OR($A67="",K67=0),"",L67/(K67-COUNTIFS(Tasks!$B$5:$B$504,$A67,Tasks!$H$5:$H$504,"Cancelled")))</f>
        <v/>
      </c>
      <c r="P67" s="25"/>
      <c r="Q67" s="25"/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5"/>
      <c r="G68" s="25"/>
      <c r="H68" s="26"/>
      <c r="I68" s="26"/>
      <c r="J68" s="25"/>
      <c r="K68" s="27" t="str">
        <f aca="false">IF($A68="","",COUNTIF(Tasks!$B$5:$B$504,$A68))</f>
        <v/>
      </c>
      <c r="L68" s="27" t="str">
        <f aca="false">IF($A68="","",COUNTIFS(Tasks!$B$5:$B$504,$A68,Tasks!$H$5:$H$504,"Done"))</f>
        <v/>
      </c>
      <c r="M68" s="27" t="str">
        <f aca="false">IF($A68="","",K68-L68-COUNTIFS(Tasks!$B$5:$B$504,$A68,Tasks!$H$5:$H$504,"Cancelled"))</f>
        <v/>
      </c>
      <c r="N68" s="27" t="str">
        <f aca="false">IF($A68="","",COUNTIFS(Tasks!$B$5:$B$504,$A68,Tasks!$M$5:$M$504,"OVERDUE"))</f>
        <v/>
      </c>
      <c r="O68" s="28" t="str">
        <f aca="false">IF(OR($A68="",K68=0),"",L68/(K68-COUNTIFS(Tasks!$B$5:$B$504,$A68,Tasks!$H$5:$H$504,"Cancelled")))</f>
        <v/>
      </c>
      <c r="P68" s="25"/>
      <c r="Q68" s="25"/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5"/>
      <c r="G69" s="25"/>
      <c r="H69" s="26"/>
      <c r="I69" s="26"/>
      <c r="J69" s="25"/>
      <c r="K69" s="27" t="str">
        <f aca="false">IF($A69="","",COUNTIF(Tasks!$B$5:$B$504,$A69))</f>
        <v/>
      </c>
      <c r="L69" s="27" t="str">
        <f aca="false">IF($A69="","",COUNTIFS(Tasks!$B$5:$B$504,$A69,Tasks!$H$5:$H$504,"Done"))</f>
        <v/>
      </c>
      <c r="M69" s="27" t="str">
        <f aca="false">IF($A69="","",K69-L69-COUNTIFS(Tasks!$B$5:$B$504,$A69,Tasks!$H$5:$H$504,"Cancelled"))</f>
        <v/>
      </c>
      <c r="N69" s="27" t="str">
        <f aca="false">IF($A69="","",COUNTIFS(Tasks!$B$5:$B$504,$A69,Tasks!$M$5:$M$504,"OVERDUE"))</f>
        <v/>
      </c>
      <c r="O69" s="28" t="str">
        <f aca="false">IF(OR($A69="",K69=0),"",L69/(K69-COUNTIFS(Tasks!$B$5:$B$504,$A69,Tasks!$H$5:$H$504,"Cancelled")))</f>
        <v/>
      </c>
      <c r="P69" s="25"/>
      <c r="Q69" s="25"/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5"/>
      <c r="G70" s="25"/>
      <c r="H70" s="26"/>
      <c r="I70" s="26"/>
      <c r="J70" s="25"/>
      <c r="K70" s="27" t="str">
        <f aca="false">IF($A70="","",COUNTIF(Tasks!$B$5:$B$504,$A70))</f>
        <v/>
      </c>
      <c r="L70" s="27" t="str">
        <f aca="false">IF($A70="","",COUNTIFS(Tasks!$B$5:$B$504,$A70,Tasks!$H$5:$H$504,"Done"))</f>
        <v/>
      </c>
      <c r="M70" s="27" t="str">
        <f aca="false">IF($A70="","",K70-L70-COUNTIFS(Tasks!$B$5:$B$504,$A70,Tasks!$H$5:$H$504,"Cancelled"))</f>
        <v/>
      </c>
      <c r="N70" s="27" t="str">
        <f aca="false">IF($A70="","",COUNTIFS(Tasks!$B$5:$B$504,$A70,Tasks!$M$5:$M$504,"OVERDUE"))</f>
        <v/>
      </c>
      <c r="O70" s="28" t="str">
        <f aca="false">IF(OR($A70="",K70=0),"",L70/(K70-COUNTIFS(Tasks!$B$5:$B$504,$A70,Tasks!$H$5:$H$504,"Cancelled")))</f>
        <v/>
      </c>
      <c r="P70" s="25"/>
      <c r="Q70" s="25"/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5"/>
      <c r="G71" s="25"/>
      <c r="H71" s="26"/>
      <c r="I71" s="26"/>
      <c r="J71" s="25"/>
      <c r="K71" s="27" t="str">
        <f aca="false">IF($A71="","",COUNTIF(Tasks!$B$5:$B$504,$A71))</f>
        <v/>
      </c>
      <c r="L71" s="27" t="str">
        <f aca="false">IF($A71="","",COUNTIFS(Tasks!$B$5:$B$504,$A71,Tasks!$H$5:$H$504,"Done"))</f>
        <v/>
      </c>
      <c r="M71" s="27" t="str">
        <f aca="false">IF($A71="","",K71-L71-COUNTIFS(Tasks!$B$5:$B$504,$A71,Tasks!$H$5:$H$504,"Cancelled"))</f>
        <v/>
      </c>
      <c r="N71" s="27" t="str">
        <f aca="false">IF($A71="","",COUNTIFS(Tasks!$B$5:$B$504,$A71,Tasks!$M$5:$M$504,"OVERDUE"))</f>
        <v/>
      </c>
      <c r="O71" s="28" t="str">
        <f aca="false">IF(OR($A71="",K71=0),"",L71/(K71-COUNTIFS(Tasks!$B$5:$B$504,$A71,Tasks!$H$5:$H$504,"Cancelled")))</f>
        <v/>
      </c>
      <c r="P71" s="25"/>
      <c r="Q71" s="25"/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5"/>
      <c r="G72" s="25"/>
      <c r="H72" s="26"/>
      <c r="I72" s="26"/>
      <c r="J72" s="25"/>
      <c r="K72" s="27" t="str">
        <f aca="false">IF($A72="","",COUNTIF(Tasks!$B$5:$B$504,$A72))</f>
        <v/>
      </c>
      <c r="L72" s="27" t="str">
        <f aca="false">IF($A72="","",COUNTIFS(Tasks!$B$5:$B$504,$A72,Tasks!$H$5:$H$504,"Done"))</f>
        <v/>
      </c>
      <c r="M72" s="27" t="str">
        <f aca="false">IF($A72="","",K72-L72-COUNTIFS(Tasks!$B$5:$B$504,$A72,Tasks!$H$5:$H$504,"Cancelled"))</f>
        <v/>
      </c>
      <c r="N72" s="27" t="str">
        <f aca="false">IF($A72="","",COUNTIFS(Tasks!$B$5:$B$504,$A72,Tasks!$M$5:$M$504,"OVERDUE"))</f>
        <v/>
      </c>
      <c r="O72" s="28" t="str">
        <f aca="false">IF(OR($A72="",K72=0),"",L72/(K72-COUNTIFS(Tasks!$B$5:$B$504,$A72,Tasks!$H$5:$H$504,"Cancelled")))</f>
        <v/>
      </c>
      <c r="P72" s="25"/>
      <c r="Q72" s="25"/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5"/>
      <c r="G73" s="25"/>
      <c r="H73" s="26"/>
      <c r="I73" s="26"/>
      <c r="J73" s="25"/>
      <c r="K73" s="27" t="str">
        <f aca="false">IF($A73="","",COUNTIF(Tasks!$B$5:$B$504,$A73))</f>
        <v/>
      </c>
      <c r="L73" s="27" t="str">
        <f aca="false">IF($A73="","",COUNTIFS(Tasks!$B$5:$B$504,$A73,Tasks!$H$5:$H$504,"Done"))</f>
        <v/>
      </c>
      <c r="M73" s="27" t="str">
        <f aca="false">IF($A73="","",K73-L73-COUNTIFS(Tasks!$B$5:$B$504,$A73,Tasks!$H$5:$H$504,"Cancelled"))</f>
        <v/>
      </c>
      <c r="N73" s="27" t="str">
        <f aca="false">IF($A73="","",COUNTIFS(Tasks!$B$5:$B$504,$A73,Tasks!$M$5:$M$504,"OVERDUE"))</f>
        <v/>
      </c>
      <c r="O73" s="28" t="str">
        <f aca="false">IF(OR($A73="",K73=0),"",L73/(K73-COUNTIFS(Tasks!$B$5:$B$504,$A73,Tasks!$H$5:$H$504,"Cancelled")))</f>
        <v/>
      </c>
      <c r="P73" s="25"/>
      <c r="Q73" s="25"/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5"/>
      <c r="G74" s="25"/>
      <c r="H74" s="26"/>
      <c r="I74" s="26"/>
      <c r="J74" s="25"/>
      <c r="K74" s="27" t="str">
        <f aca="false">IF($A74="","",COUNTIF(Tasks!$B$5:$B$504,$A74))</f>
        <v/>
      </c>
      <c r="L74" s="27" t="str">
        <f aca="false">IF($A74="","",COUNTIFS(Tasks!$B$5:$B$504,$A74,Tasks!$H$5:$H$504,"Done"))</f>
        <v/>
      </c>
      <c r="M74" s="27" t="str">
        <f aca="false">IF($A74="","",K74-L74-COUNTIFS(Tasks!$B$5:$B$504,$A74,Tasks!$H$5:$H$504,"Cancelled"))</f>
        <v/>
      </c>
      <c r="N74" s="27" t="str">
        <f aca="false">IF($A74="","",COUNTIFS(Tasks!$B$5:$B$504,$A74,Tasks!$M$5:$M$504,"OVERDUE"))</f>
        <v/>
      </c>
      <c r="O74" s="28" t="str">
        <f aca="false">IF(OR($A74="",K74=0),"",L74/(K74-COUNTIFS(Tasks!$B$5:$B$504,$A74,Tasks!$H$5:$H$504,"Cancelled")))</f>
        <v/>
      </c>
      <c r="P74" s="25"/>
      <c r="Q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5"/>
      <c r="G75" s="25"/>
      <c r="H75" s="26"/>
      <c r="I75" s="26"/>
      <c r="J75" s="25"/>
      <c r="K75" s="27" t="str">
        <f aca="false">IF($A75="","",COUNTIF(Tasks!$B$5:$B$504,$A75))</f>
        <v/>
      </c>
      <c r="L75" s="27" t="str">
        <f aca="false">IF($A75="","",COUNTIFS(Tasks!$B$5:$B$504,$A75,Tasks!$H$5:$H$504,"Done"))</f>
        <v/>
      </c>
      <c r="M75" s="27" t="str">
        <f aca="false">IF($A75="","",K75-L75-COUNTIFS(Tasks!$B$5:$B$504,$A75,Tasks!$H$5:$H$504,"Cancelled"))</f>
        <v/>
      </c>
      <c r="N75" s="27" t="str">
        <f aca="false">IF($A75="","",COUNTIFS(Tasks!$B$5:$B$504,$A75,Tasks!$M$5:$M$504,"OVERDUE"))</f>
        <v/>
      </c>
      <c r="O75" s="28" t="str">
        <f aca="false">IF(OR($A75="",K75=0),"",L75/(K75-COUNTIFS(Tasks!$B$5:$B$504,$A75,Tasks!$H$5:$H$504,"Cancelled")))</f>
        <v/>
      </c>
      <c r="P75" s="25"/>
      <c r="Q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5"/>
      <c r="G76" s="25"/>
      <c r="H76" s="26"/>
      <c r="I76" s="26"/>
      <c r="J76" s="25"/>
      <c r="K76" s="27" t="str">
        <f aca="false">IF($A76="","",COUNTIF(Tasks!$B$5:$B$504,$A76))</f>
        <v/>
      </c>
      <c r="L76" s="27" t="str">
        <f aca="false">IF($A76="","",COUNTIFS(Tasks!$B$5:$B$504,$A76,Tasks!$H$5:$H$504,"Done"))</f>
        <v/>
      </c>
      <c r="M76" s="27" t="str">
        <f aca="false">IF($A76="","",K76-L76-COUNTIFS(Tasks!$B$5:$B$504,$A76,Tasks!$H$5:$H$504,"Cancelled"))</f>
        <v/>
      </c>
      <c r="N76" s="27" t="str">
        <f aca="false">IF($A76="","",COUNTIFS(Tasks!$B$5:$B$504,$A76,Tasks!$M$5:$M$504,"OVERDUE"))</f>
        <v/>
      </c>
      <c r="O76" s="28" t="str">
        <f aca="false">IF(OR($A76="",K76=0),"",L76/(K76-COUNTIFS(Tasks!$B$5:$B$504,$A76,Tasks!$H$5:$H$504,"Cancelled")))</f>
        <v/>
      </c>
      <c r="P76" s="25"/>
      <c r="Q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5"/>
      <c r="G77" s="25"/>
      <c r="H77" s="26"/>
      <c r="I77" s="26"/>
      <c r="J77" s="25"/>
      <c r="K77" s="27" t="str">
        <f aca="false">IF($A77="","",COUNTIF(Tasks!$B$5:$B$504,$A77))</f>
        <v/>
      </c>
      <c r="L77" s="27" t="str">
        <f aca="false">IF($A77="","",COUNTIFS(Tasks!$B$5:$B$504,$A77,Tasks!$H$5:$H$504,"Done"))</f>
        <v/>
      </c>
      <c r="M77" s="27" t="str">
        <f aca="false">IF($A77="","",K77-L77-COUNTIFS(Tasks!$B$5:$B$504,$A77,Tasks!$H$5:$H$504,"Cancelled"))</f>
        <v/>
      </c>
      <c r="N77" s="27" t="str">
        <f aca="false">IF($A77="","",COUNTIFS(Tasks!$B$5:$B$504,$A77,Tasks!$M$5:$M$504,"OVERDUE"))</f>
        <v/>
      </c>
      <c r="O77" s="28" t="str">
        <f aca="false">IF(OR($A77="",K77=0),"",L77/(K77-COUNTIFS(Tasks!$B$5:$B$504,$A77,Tasks!$H$5:$H$504,"Cancelled")))</f>
        <v/>
      </c>
      <c r="P77" s="25"/>
      <c r="Q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5"/>
      <c r="G78" s="25"/>
      <c r="H78" s="26"/>
      <c r="I78" s="26"/>
      <c r="J78" s="25"/>
      <c r="K78" s="27" t="str">
        <f aca="false">IF($A78="","",COUNTIF(Tasks!$B$5:$B$504,$A78))</f>
        <v/>
      </c>
      <c r="L78" s="27" t="str">
        <f aca="false">IF($A78="","",COUNTIFS(Tasks!$B$5:$B$504,$A78,Tasks!$H$5:$H$504,"Done"))</f>
        <v/>
      </c>
      <c r="M78" s="27" t="str">
        <f aca="false">IF($A78="","",K78-L78-COUNTIFS(Tasks!$B$5:$B$504,$A78,Tasks!$H$5:$H$504,"Cancelled"))</f>
        <v/>
      </c>
      <c r="N78" s="27" t="str">
        <f aca="false">IF($A78="","",COUNTIFS(Tasks!$B$5:$B$504,$A78,Tasks!$M$5:$M$504,"OVERDUE"))</f>
        <v/>
      </c>
      <c r="O78" s="28" t="str">
        <f aca="false">IF(OR($A78="",K78=0),"",L78/(K78-COUNTIFS(Tasks!$B$5:$B$504,$A78,Tasks!$H$5:$H$504,"Cancelled")))</f>
        <v/>
      </c>
      <c r="P78" s="25"/>
      <c r="Q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5"/>
      <c r="G79" s="25"/>
      <c r="H79" s="26"/>
      <c r="I79" s="26"/>
      <c r="J79" s="25"/>
      <c r="K79" s="27" t="str">
        <f aca="false">IF($A79="","",COUNTIF(Tasks!$B$5:$B$504,$A79))</f>
        <v/>
      </c>
      <c r="L79" s="27" t="str">
        <f aca="false">IF($A79="","",COUNTIFS(Tasks!$B$5:$B$504,$A79,Tasks!$H$5:$H$504,"Done"))</f>
        <v/>
      </c>
      <c r="M79" s="27" t="str">
        <f aca="false">IF($A79="","",K79-L79-COUNTIFS(Tasks!$B$5:$B$504,$A79,Tasks!$H$5:$H$504,"Cancelled"))</f>
        <v/>
      </c>
      <c r="N79" s="27" t="str">
        <f aca="false">IF($A79="","",COUNTIFS(Tasks!$B$5:$B$504,$A79,Tasks!$M$5:$M$504,"OVERDUE"))</f>
        <v/>
      </c>
      <c r="O79" s="28" t="str">
        <f aca="false">IF(OR($A79="",K79=0),"",L79/(K79-COUNTIFS(Tasks!$B$5:$B$504,$A79,Tasks!$H$5:$H$504,"Cancelled")))</f>
        <v/>
      </c>
      <c r="P79" s="25"/>
      <c r="Q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5"/>
      <c r="G80" s="25"/>
      <c r="H80" s="26"/>
      <c r="I80" s="26"/>
      <c r="J80" s="25"/>
      <c r="K80" s="27" t="str">
        <f aca="false">IF($A80="","",COUNTIF(Tasks!$B$5:$B$504,$A80))</f>
        <v/>
      </c>
      <c r="L80" s="27" t="str">
        <f aca="false">IF($A80="","",COUNTIFS(Tasks!$B$5:$B$504,$A80,Tasks!$H$5:$H$504,"Done"))</f>
        <v/>
      </c>
      <c r="M80" s="27" t="str">
        <f aca="false">IF($A80="","",K80-L80-COUNTIFS(Tasks!$B$5:$B$504,$A80,Tasks!$H$5:$H$504,"Cancelled"))</f>
        <v/>
      </c>
      <c r="N80" s="27" t="str">
        <f aca="false">IF($A80="","",COUNTIFS(Tasks!$B$5:$B$504,$A80,Tasks!$M$5:$M$504,"OVERDUE"))</f>
        <v/>
      </c>
      <c r="O80" s="28" t="str">
        <f aca="false">IF(OR($A80="",K80=0),"",L80/(K80-COUNTIFS(Tasks!$B$5:$B$504,$A80,Tasks!$H$5:$H$504,"Cancelled")))</f>
        <v/>
      </c>
      <c r="P80" s="25"/>
      <c r="Q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5"/>
      <c r="G81" s="25"/>
      <c r="H81" s="26"/>
      <c r="I81" s="26"/>
      <c r="J81" s="25"/>
      <c r="K81" s="27" t="str">
        <f aca="false">IF($A81="","",COUNTIF(Tasks!$B$5:$B$504,$A81))</f>
        <v/>
      </c>
      <c r="L81" s="27" t="str">
        <f aca="false">IF($A81="","",COUNTIFS(Tasks!$B$5:$B$504,$A81,Tasks!$H$5:$H$504,"Done"))</f>
        <v/>
      </c>
      <c r="M81" s="27" t="str">
        <f aca="false">IF($A81="","",K81-L81-COUNTIFS(Tasks!$B$5:$B$504,$A81,Tasks!$H$5:$H$504,"Cancelled"))</f>
        <v/>
      </c>
      <c r="N81" s="27" t="str">
        <f aca="false">IF($A81="","",COUNTIFS(Tasks!$B$5:$B$504,$A81,Tasks!$M$5:$M$504,"OVERDUE"))</f>
        <v/>
      </c>
      <c r="O81" s="28" t="str">
        <f aca="false">IF(OR($A81="",K81=0),"",L81/(K81-COUNTIFS(Tasks!$B$5:$B$504,$A81,Tasks!$H$5:$H$504,"Cancelled")))</f>
        <v/>
      </c>
      <c r="P81" s="25"/>
      <c r="Q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5"/>
      <c r="G82" s="25"/>
      <c r="H82" s="26"/>
      <c r="I82" s="26"/>
      <c r="J82" s="25"/>
      <c r="K82" s="27" t="str">
        <f aca="false">IF($A82="","",COUNTIF(Tasks!$B$5:$B$504,$A82))</f>
        <v/>
      </c>
      <c r="L82" s="27" t="str">
        <f aca="false">IF($A82="","",COUNTIFS(Tasks!$B$5:$B$504,$A82,Tasks!$H$5:$H$504,"Done"))</f>
        <v/>
      </c>
      <c r="M82" s="27" t="str">
        <f aca="false">IF($A82="","",K82-L82-COUNTIFS(Tasks!$B$5:$B$504,$A82,Tasks!$H$5:$H$504,"Cancelled"))</f>
        <v/>
      </c>
      <c r="N82" s="27" t="str">
        <f aca="false">IF($A82="","",COUNTIFS(Tasks!$B$5:$B$504,$A82,Tasks!$M$5:$M$504,"OVERDUE"))</f>
        <v/>
      </c>
      <c r="O82" s="28" t="str">
        <f aca="false">IF(OR($A82="",K82=0),"",L82/(K82-COUNTIFS(Tasks!$B$5:$B$504,$A82,Tasks!$H$5:$H$504,"Cancelled")))</f>
        <v/>
      </c>
      <c r="P82" s="25"/>
      <c r="Q82" s="25"/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5"/>
      <c r="G83" s="25"/>
      <c r="H83" s="26"/>
      <c r="I83" s="26"/>
      <c r="J83" s="25"/>
      <c r="K83" s="27" t="str">
        <f aca="false">IF($A83="","",COUNTIF(Tasks!$B$5:$B$504,$A83))</f>
        <v/>
      </c>
      <c r="L83" s="27" t="str">
        <f aca="false">IF($A83="","",COUNTIFS(Tasks!$B$5:$B$504,$A83,Tasks!$H$5:$H$504,"Done"))</f>
        <v/>
      </c>
      <c r="M83" s="27" t="str">
        <f aca="false">IF($A83="","",K83-L83-COUNTIFS(Tasks!$B$5:$B$504,$A83,Tasks!$H$5:$H$504,"Cancelled"))</f>
        <v/>
      </c>
      <c r="N83" s="27" t="str">
        <f aca="false">IF($A83="","",COUNTIFS(Tasks!$B$5:$B$504,$A83,Tasks!$M$5:$M$504,"OVERDUE"))</f>
        <v/>
      </c>
      <c r="O83" s="28" t="str">
        <f aca="false">IF(OR($A83="",K83=0),"",L83/(K83-COUNTIFS(Tasks!$B$5:$B$504,$A83,Tasks!$H$5:$H$504,"Cancelled")))</f>
        <v/>
      </c>
      <c r="P83" s="25"/>
      <c r="Q83" s="25"/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5"/>
      <c r="G84" s="25"/>
      <c r="H84" s="26"/>
      <c r="I84" s="26"/>
      <c r="J84" s="25"/>
      <c r="K84" s="27" t="str">
        <f aca="false">IF($A84="","",COUNTIF(Tasks!$B$5:$B$504,$A84))</f>
        <v/>
      </c>
      <c r="L84" s="27" t="str">
        <f aca="false">IF($A84="","",COUNTIFS(Tasks!$B$5:$B$504,$A84,Tasks!$H$5:$H$504,"Done"))</f>
        <v/>
      </c>
      <c r="M84" s="27" t="str">
        <f aca="false">IF($A84="","",K84-L84-COUNTIFS(Tasks!$B$5:$B$504,$A84,Tasks!$H$5:$H$504,"Cancelled"))</f>
        <v/>
      </c>
      <c r="N84" s="27" t="str">
        <f aca="false">IF($A84="","",COUNTIFS(Tasks!$B$5:$B$504,$A84,Tasks!$M$5:$M$504,"OVERDUE"))</f>
        <v/>
      </c>
      <c r="O84" s="28" t="str">
        <f aca="false">IF(OR($A84="",K84=0),"",L84/(K84-COUNTIFS(Tasks!$B$5:$B$504,$A84,Tasks!$H$5:$H$504,"Cancelled")))</f>
        <v/>
      </c>
      <c r="P84" s="25"/>
      <c r="Q84" s="25"/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5"/>
      <c r="G85" s="25"/>
      <c r="H85" s="26"/>
      <c r="I85" s="26"/>
      <c r="J85" s="25"/>
      <c r="K85" s="27" t="str">
        <f aca="false">IF($A85="","",COUNTIF(Tasks!$B$5:$B$504,$A85))</f>
        <v/>
      </c>
      <c r="L85" s="27" t="str">
        <f aca="false">IF($A85="","",COUNTIFS(Tasks!$B$5:$B$504,$A85,Tasks!$H$5:$H$504,"Done"))</f>
        <v/>
      </c>
      <c r="M85" s="27" t="str">
        <f aca="false">IF($A85="","",K85-L85-COUNTIFS(Tasks!$B$5:$B$504,$A85,Tasks!$H$5:$H$504,"Cancelled"))</f>
        <v/>
      </c>
      <c r="N85" s="27" t="str">
        <f aca="false">IF($A85="","",COUNTIFS(Tasks!$B$5:$B$504,$A85,Tasks!$M$5:$M$504,"OVERDUE"))</f>
        <v/>
      </c>
      <c r="O85" s="28" t="str">
        <f aca="false">IF(OR($A85="",K85=0),"",L85/(K85-COUNTIFS(Tasks!$B$5:$B$504,$A85,Tasks!$H$5:$H$504,"Cancelled")))</f>
        <v/>
      </c>
      <c r="P85" s="25"/>
      <c r="Q85" s="25"/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5"/>
      <c r="G86" s="25"/>
      <c r="H86" s="26"/>
      <c r="I86" s="26"/>
      <c r="J86" s="25"/>
      <c r="K86" s="27" t="str">
        <f aca="false">IF($A86="","",COUNTIF(Tasks!$B$5:$B$504,$A86))</f>
        <v/>
      </c>
      <c r="L86" s="27" t="str">
        <f aca="false">IF($A86="","",COUNTIFS(Tasks!$B$5:$B$504,$A86,Tasks!$H$5:$H$504,"Done"))</f>
        <v/>
      </c>
      <c r="M86" s="27" t="str">
        <f aca="false">IF($A86="","",K86-L86-COUNTIFS(Tasks!$B$5:$B$504,$A86,Tasks!$H$5:$H$504,"Cancelled"))</f>
        <v/>
      </c>
      <c r="N86" s="27" t="str">
        <f aca="false">IF($A86="","",COUNTIFS(Tasks!$B$5:$B$504,$A86,Tasks!$M$5:$M$504,"OVERDUE"))</f>
        <v/>
      </c>
      <c r="O86" s="28" t="str">
        <f aca="false">IF(OR($A86="",K86=0),"",L86/(K86-COUNTIFS(Tasks!$B$5:$B$504,$A86,Tasks!$H$5:$H$504,"Cancelled")))</f>
        <v/>
      </c>
      <c r="P86" s="25"/>
      <c r="Q86" s="25"/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5"/>
      <c r="G87" s="25"/>
      <c r="H87" s="26"/>
      <c r="I87" s="26"/>
      <c r="J87" s="25"/>
      <c r="K87" s="27" t="str">
        <f aca="false">IF($A87="","",COUNTIF(Tasks!$B$5:$B$504,$A87))</f>
        <v/>
      </c>
      <c r="L87" s="27" t="str">
        <f aca="false">IF($A87="","",COUNTIFS(Tasks!$B$5:$B$504,$A87,Tasks!$H$5:$H$504,"Done"))</f>
        <v/>
      </c>
      <c r="M87" s="27" t="str">
        <f aca="false">IF($A87="","",K87-L87-COUNTIFS(Tasks!$B$5:$B$504,$A87,Tasks!$H$5:$H$504,"Cancelled"))</f>
        <v/>
      </c>
      <c r="N87" s="27" t="str">
        <f aca="false">IF($A87="","",COUNTIFS(Tasks!$B$5:$B$504,$A87,Tasks!$M$5:$M$504,"OVERDUE"))</f>
        <v/>
      </c>
      <c r="O87" s="28" t="str">
        <f aca="false">IF(OR($A87="",K87=0),"",L87/(K87-COUNTIFS(Tasks!$B$5:$B$504,$A87,Tasks!$H$5:$H$504,"Cancelled")))</f>
        <v/>
      </c>
      <c r="P87" s="25"/>
      <c r="Q87" s="25"/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5"/>
      <c r="G88" s="25"/>
      <c r="H88" s="26"/>
      <c r="I88" s="26"/>
      <c r="J88" s="25"/>
      <c r="K88" s="27" t="str">
        <f aca="false">IF($A88="","",COUNTIF(Tasks!$B$5:$B$504,$A88))</f>
        <v/>
      </c>
      <c r="L88" s="27" t="str">
        <f aca="false">IF($A88="","",COUNTIFS(Tasks!$B$5:$B$504,$A88,Tasks!$H$5:$H$504,"Done"))</f>
        <v/>
      </c>
      <c r="M88" s="27" t="str">
        <f aca="false">IF($A88="","",K88-L88-COUNTIFS(Tasks!$B$5:$B$504,$A88,Tasks!$H$5:$H$504,"Cancelled"))</f>
        <v/>
      </c>
      <c r="N88" s="27" t="str">
        <f aca="false">IF($A88="","",COUNTIFS(Tasks!$B$5:$B$504,$A88,Tasks!$M$5:$M$504,"OVERDUE"))</f>
        <v/>
      </c>
      <c r="O88" s="28" t="str">
        <f aca="false">IF(OR($A88="",K88=0),"",L88/(K88-COUNTIFS(Tasks!$B$5:$B$504,$A88,Tasks!$H$5:$H$504,"Cancelled")))</f>
        <v/>
      </c>
      <c r="P88" s="25"/>
      <c r="Q88" s="25"/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5"/>
      <c r="G89" s="25"/>
      <c r="H89" s="26"/>
      <c r="I89" s="26"/>
      <c r="J89" s="25"/>
      <c r="K89" s="27" t="str">
        <f aca="false">IF($A89="","",COUNTIF(Tasks!$B$5:$B$504,$A89))</f>
        <v/>
      </c>
      <c r="L89" s="27" t="str">
        <f aca="false">IF($A89="","",COUNTIFS(Tasks!$B$5:$B$504,$A89,Tasks!$H$5:$H$504,"Done"))</f>
        <v/>
      </c>
      <c r="M89" s="27" t="str">
        <f aca="false">IF($A89="","",K89-L89-COUNTIFS(Tasks!$B$5:$B$504,$A89,Tasks!$H$5:$H$504,"Cancelled"))</f>
        <v/>
      </c>
      <c r="N89" s="27" t="str">
        <f aca="false">IF($A89="","",COUNTIFS(Tasks!$B$5:$B$504,$A89,Tasks!$M$5:$M$504,"OVERDUE"))</f>
        <v/>
      </c>
      <c r="O89" s="28" t="str">
        <f aca="false">IF(OR($A89="",K89=0),"",L89/(K89-COUNTIFS(Tasks!$B$5:$B$504,$A89,Tasks!$H$5:$H$504,"Cancelled")))</f>
        <v/>
      </c>
      <c r="P89" s="25"/>
      <c r="Q89" s="25"/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5"/>
      <c r="G90" s="25"/>
      <c r="H90" s="26"/>
      <c r="I90" s="26"/>
      <c r="J90" s="25"/>
      <c r="K90" s="27" t="str">
        <f aca="false">IF($A90="","",COUNTIF(Tasks!$B$5:$B$504,$A90))</f>
        <v/>
      </c>
      <c r="L90" s="27" t="str">
        <f aca="false">IF($A90="","",COUNTIFS(Tasks!$B$5:$B$504,$A90,Tasks!$H$5:$H$504,"Done"))</f>
        <v/>
      </c>
      <c r="M90" s="27" t="str">
        <f aca="false">IF($A90="","",K90-L90-COUNTIFS(Tasks!$B$5:$B$504,$A90,Tasks!$H$5:$H$504,"Cancelled"))</f>
        <v/>
      </c>
      <c r="N90" s="27" t="str">
        <f aca="false">IF($A90="","",COUNTIFS(Tasks!$B$5:$B$504,$A90,Tasks!$M$5:$M$504,"OVERDUE"))</f>
        <v/>
      </c>
      <c r="O90" s="28" t="str">
        <f aca="false">IF(OR($A90="",K90=0),"",L90/(K90-COUNTIFS(Tasks!$B$5:$B$504,$A90,Tasks!$H$5:$H$504,"Cancelled")))</f>
        <v/>
      </c>
      <c r="P90" s="25"/>
      <c r="Q90" s="25"/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5"/>
      <c r="G91" s="25"/>
      <c r="H91" s="26"/>
      <c r="I91" s="26"/>
      <c r="J91" s="25"/>
      <c r="K91" s="27" t="str">
        <f aca="false">IF($A91="","",COUNTIF(Tasks!$B$5:$B$504,$A91))</f>
        <v/>
      </c>
      <c r="L91" s="27" t="str">
        <f aca="false">IF($A91="","",COUNTIFS(Tasks!$B$5:$B$504,$A91,Tasks!$H$5:$H$504,"Done"))</f>
        <v/>
      </c>
      <c r="M91" s="27" t="str">
        <f aca="false">IF($A91="","",K91-L91-COUNTIFS(Tasks!$B$5:$B$504,$A91,Tasks!$H$5:$H$504,"Cancelled"))</f>
        <v/>
      </c>
      <c r="N91" s="27" t="str">
        <f aca="false">IF($A91="","",COUNTIFS(Tasks!$B$5:$B$504,$A91,Tasks!$M$5:$M$504,"OVERDUE"))</f>
        <v/>
      </c>
      <c r="O91" s="28" t="str">
        <f aca="false">IF(OR($A91="",K91=0),"",L91/(K91-COUNTIFS(Tasks!$B$5:$B$504,$A91,Tasks!$H$5:$H$504,"Cancelled")))</f>
        <v/>
      </c>
      <c r="P91" s="25"/>
      <c r="Q91" s="25"/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5"/>
      <c r="G92" s="25"/>
      <c r="H92" s="26"/>
      <c r="I92" s="26"/>
      <c r="J92" s="25"/>
      <c r="K92" s="27" t="str">
        <f aca="false">IF($A92="","",COUNTIF(Tasks!$B$5:$B$504,$A92))</f>
        <v/>
      </c>
      <c r="L92" s="27" t="str">
        <f aca="false">IF($A92="","",COUNTIFS(Tasks!$B$5:$B$504,$A92,Tasks!$H$5:$H$504,"Done"))</f>
        <v/>
      </c>
      <c r="M92" s="27" t="str">
        <f aca="false">IF($A92="","",K92-L92-COUNTIFS(Tasks!$B$5:$B$504,$A92,Tasks!$H$5:$H$504,"Cancelled"))</f>
        <v/>
      </c>
      <c r="N92" s="27" t="str">
        <f aca="false">IF($A92="","",COUNTIFS(Tasks!$B$5:$B$504,$A92,Tasks!$M$5:$M$504,"OVERDUE"))</f>
        <v/>
      </c>
      <c r="O92" s="28" t="str">
        <f aca="false">IF(OR($A92="",K92=0),"",L92/(K92-COUNTIFS(Tasks!$B$5:$B$504,$A92,Tasks!$H$5:$H$504,"Cancelled")))</f>
        <v/>
      </c>
      <c r="P92" s="25"/>
      <c r="Q92" s="25"/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5"/>
      <c r="G93" s="25"/>
      <c r="H93" s="26"/>
      <c r="I93" s="26"/>
      <c r="J93" s="25"/>
      <c r="K93" s="27" t="str">
        <f aca="false">IF($A93="","",COUNTIF(Tasks!$B$5:$B$504,$A93))</f>
        <v/>
      </c>
      <c r="L93" s="27" t="str">
        <f aca="false">IF($A93="","",COUNTIFS(Tasks!$B$5:$B$504,$A93,Tasks!$H$5:$H$504,"Done"))</f>
        <v/>
      </c>
      <c r="M93" s="27" t="str">
        <f aca="false">IF($A93="","",K93-L93-COUNTIFS(Tasks!$B$5:$B$504,$A93,Tasks!$H$5:$H$504,"Cancelled"))</f>
        <v/>
      </c>
      <c r="N93" s="27" t="str">
        <f aca="false">IF($A93="","",COUNTIFS(Tasks!$B$5:$B$504,$A93,Tasks!$M$5:$M$504,"OVERDUE"))</f>
        <v/>
      </c>
      <c r="O93" s="28" t="str">
        <f aca="false">IF(OR($A93="",K93=0),"",L93/(K93-COUNTIFS(Tasks!$B$5:$B$504,$A93,Tasks!$H$5:$H$504,"Cancelled")))</f>
        <v/>
      </c>
      <c r="P93" s="25"/>
      <c r="Q93" s="25"/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5"/>
      <c r="G94" s="25"/>
      <c r="H94" s="26"/>
      <c r="I94" s="26"/>
      <c r="J94" s="25"/>
      <c r="K94" s="27" t="str">
        <f aca="false">IF($A94="","",COUNTIF(Tasks!$B$5:$B$504,$A94))</f>
        <v/>
      </c>
      <c r="L94" s="27" t="str">
        <f aca="false">IF($A94="","",COUNTIFS(Tasks!$B$5:$B$504,$A94,Tasks!$H$5:$H$504,"Done"))</f>
        <v/>
      </c>
      <c r="M94" s="27" t="str">
        <f aca="false">IF($A94="","",K94-L94-COUNTIFS(Tasks!$B$5:$B$504,$A94,Tasks!$H$5:$H$504,"Cancelled"))</f>
        <v/>
      </c>
      <c r="N94" s="27" t="str">
        <f aca="false">IF($A94="","",COUNTIFS(Tasks!$B$5:$B$504,$A94,Tasks!$M$5:$M$504,"OVERDUE"))</f>
        <v/>
      </c>
      <c r="O94" s="28" t="str">
        <f aca="false">IF(OR($A94="",K94=0),"",L94/(K94-COUNTIFS(Tasks!$B$5:$B$504,$A94,Tasks!$H$5:$H$504,"Cancelled")))</f>
        <v/>
      </c>
      <c r="P94" s="25"/>
      <c r="Q94" s="25"/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5"/>
      <c r="G95" s="25"/>
      <c r="H95" s="26"/>
      <c r="I95" s="26"/>
      <c r="J95" s="25"/>
      <c r="K95" s="27" t="str">
        <f aca="false">IF($A95="","",COUNTIF(Tasks!$B$5:$B$504,$A95))</f>
        <v/>
      </c>
      <c r="L95" s="27" t="str">
        <f aca="false">IF($A95="","",COUNTIFS(Tasks!$B$5:$B$504,$A95,Tasks!$H$5:$H$504,"Done"))</f>
        <v/>
      </c>
      <c r="M95" s="27" t="str">
        <f aca="false">IF($A95="","",K95-L95-COUNTIFS(Tasks!$B$5:$B$504,$A95,Tasks!$H$5:$H$504,"Cancelled"))</f>
        <v/>
      </c>
      <c r="N95" s="27" t="str">
        <f aca="false">IF($A95="","",COUNTIFS(Tasks!$B$5:$B$504,$A95,Tasks!$M$5:$M$504,"OVERDUE"))</f>
        <v/>
      </c>
      <c r="O95" s="28" t="str">
        <f aca="false">IF(OR($A95="",K95=0),"",L95/(K95-COUNTIFS(Tasks!$B$5:$B$504,$A95,Tasks!$H$5:$H$504,"Cancelled")))</f>
        <v/>
      </c>
      <c r="P95" s="25"/>
      <c r="Q95" s="25"/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5"/>
      <c r="G96" s="25"/>
      <c r="H96" s="26"/>
      <c r="I96" s="26"/>
      <c r="J96" s="25"/>
      <c r="K96" s="27" t="str">
        <f aca="false">IF($A96="","",COUNTIF(Tasks!$B$5:$B$504,$A96))</f>
        <v/>
      </c>
      <c r="L96" s="27" t="str">
        <f aca="false">IF($A96="","",COUNTIFS(Tasks!$B$5:$B$504,$A96,Tasks!$H$5:$H$504,"Done"))</f>
        <v/>
      </c>
      <c r="M96" s="27" t="str">
        <f aca="false">IF($A96="","",K96-L96-COUNTIFS(Tasks!$B$5:$B$504,$A96,Tasks!$H$5:$H$504,"Cancelled"))</f>
        <v/>
      </c>
      <c r="N96" s="27" t="str">
        <f aca="false">IF($A96="","",COUNTIFS(Tasks!$B$5:$B$504,$A96,Tasks!$M$5:$M$504,"OVERDUE"))</f>
        <v/>
      </c>
      <c r="O96" s="28" t="str">
        <f aca="false">IF(OR($A96="",K96=0),"",L96/(K96-COUNTIFS(Tasks!$B$5:$B$504,$A96,Tasks!$H$5:$H$504,"Cancelled")))</f>
        <v/>
      </c>
      <c r="P96" s="25"/>
      <c r="Q96" s="25"/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5"/>
      <c r="G97" s="25"/>
      <c r="H97" s="26"/>
      <c r="I97" s="26"/>
      <c r="J97" s="25"/>
      <c r="K97" s="27" t="str">
        <f aca="false">IF($A97="","",COUNTIF(Tasks!$B$5:$B$504,$A97))</f>
        <v/>
      </c>
      <c r="L97" s="27" t="str">
        <f aca="false">IF($A97="","",COUNTIFS(Tasks!$B$5:$B$504,$A97,Tasks!$H$5:$H$504,"Done"))</f>
        <v/>
      </c>
      <c r="M97" s="27" t="str">
        <f aca="false">IF($A97="","",K97-L97-COUNTIFS(Tasks!$B$5:$B$504,$A97,Tasks!$H$5:$H$504,"Cancelled"))</f>
        <v/>
      </c>
      <c r="N97" s="27" t="str">
        <f aca="false">IF($A97="","",COUNTIFS(Tasks!$B$5:$B$504,$A97,Tasks!$M$5:$M$504,"OVERDUE"))</f>
        <v/>
      </c>
      <c r="O97" s="28" t="str">
        <f aca="false">IF(OR($A97="",K97=0),"",L97/(K97-COUNTIFS(Tasks!$B$5:$B$504,$A97,Tasks!$H$5:$H$504,"Cancelled")))</f>
        <v/>
      </c>
      <c r="P97" s="25"/>
      <c r="Q97" s="25"/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5"/>
      <c r="G98" s="25"/>
      <c r="H98" s="26"/>
      <c r="I98" s="26"/>
      <c r="J98" s="25"/>
      <c r="K98" s="27" t="str">
        <f aca="false">IF($A98="","",COUNTIF(Tasks!$B$5:$B$504,$A98))</f>
        <v/>
      </c>
      <c r="L98" s="27" t="str">
        <f aca="false">IF($A98="","",COUNTIFS(Tasks!$B$5:$B$504,$A98,Tasks!$H$5:$H$504,"Done"))</f>
        <v/>
      </c>
      <c r="M98" s="27" t="str">
        <f aca="false">IF($A98="","",K98-L98-COUNTIFS(Tasks!$B$5:$B$504,$A98,Tasks!$H$5:$H$504,"Cancelled"))</f>
        <v/>
      </c>
      <c r="N98" s="27" t="str">
        <f aca="false">IF($A98="","",COUNTIFS(Tasks!$B$5:$B$504,$A98,Tasks!$M$5:$M$504,"OVERDUE"))</f>
        <v/>
      </c>
      <c r="O98" s="28" t="str">
        <f aca="false">IF(OR($A98="",K98=0),"",L98/(K98-COUNTIFS(Tasks!$B$5:$B$504,$A98,Tasks!$H$5:$H$504,"Cancelled")))</f>
        <v/>
      </c>
      <c r="P98" s="25"/>
      <c r="Q98" s="25"/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5"/>
      <c r="G99" s="25"/>
      <c r="H99" s="26"/>
      <c r="I99" s="26"/>
      <c r="J99" s="25"/>
      <c r="K99" s="27" t="str">
        <f aca="false">IF($A99="","",COUNTIF(Tasks!$B$5:$B$504,$A99))</f>
        <v/>
      </c>
      <c r="L99" s="27" t="str">
        <f aca="false">IF($A99="","",COUNTIFS(Tasks!$B$5:$B$504,$A99,Tasks!$H$5:$H$504,"Done"))</f>
        <v/>
      </c>
      <c r="M99" s="27" t="str">
        <f aca="false">IF($A99="","",K99-L99-COUNTIFS(Tasks!$B$5:$B$504,$A99,Tasks!$H$5:$H$504,"Cancelled"))</f>
        <v/>
      </c>
      <c r="N99" s="27" t="str">
        <f aca="false">IF($A99="","",COUNTIFS(Tasks!$B$5:$B$504,$A99,Tasks!$M$5:$M$504,"OVERDUE"))</f>
        <v/>
      </c>
      <c r="O99" s="28" t="str">
        <f aca="false">IF(OR($A99="",K99=0),"",L99/(K99-COUNTIFS(Tasks!$B$5:$B$504,$A99,Tasks!$H$5:$H$504,"Cancelled")))</f>
        <v/>
      </c>
      <c r="P99" s="25"/>
      <c r="Q99" s="25"/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5"/>
      <c r="G100" s="25"/>
      <c r="H100" s="26"/>
      <c r="I100" s="26"/>
      <c r="J100" s="25"/>
      <c r="K100" s="27" t="str">
        <f aca="false">IF($A100="","",COUNTIF(Tasks!$B$5:$B$504,$A100))</f>
        <v/>
      </c>
      <c r="L100" s="27" t="str">
        <f aca="false">IF($A100="","",COUNTIFS(Tasks!$B$5:$B$504,$A100,Tasks!$H$5:$H$504,"Done"))</f>
        <v/>
      </c>
      <c r="M100" s="27" t="str">
        <f aca="false">IF($A100="","",K100-L100-COUNTIFS(Tasks!$B$5:$B$504,$A100,Tasks!$H$5:$H$504,"Cancelled"))</f>
        <v/>
      </c>
      <c r="N100" s="27" t="str">
        <f aca="false">IF($A100="","",COUNTIFS(Tasks!$B$5:$B$504,$A100,Tasks!$M$5:$M$504,"OVERDUE"))</f>
        <v/>
      </c>
      <c r="O100" s="28" t="str">
        <f aca="false">IF(OR($A100="",K100=0),"",L100/(K100-COUNTIFS(Tasks!$B$5:$B$504,$A100,Tasks!$H$5:$H$504,"Cancelled")))</f>
        <v/>
      </c>
      <c r="P100" s="25"/>
      <c r="Q100" s="25"/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5"/>
      <c r="G101" s="25"/>
      <c r="H101" s="26"/>
      <c r="I101" s="26"/>
      <c r="J101" s="25"/>
      <c r="K101" s="27" t="str">
        <f aca="false">IF($A101="","",COUNTIF(Tasks!$B$5:$B$504,$A101))</f>
        <v/>
      </c>
      <c r="L101" s="27" t="str">
        <f aca="false">IF($A101="","",COUNTIFS(Tasks!$B$5:$B$504,$A101,Tasks!$H$5:$H$504,"Done"))</f>
        <v/>
      </c>
      <c r="M101" s="27" t="str">
        <f aca="false">IF($A101="","",K101-L101-COUNTIFS(Tasks!$B$5:$B$504,$A101,Tasks!$H$5:$H$504,"Cancelled"))</f>
        <v/>
      </c>
      <c r="N101" s="27" t="str">
        <f aca="false">IF($A101="","",COUNTIFS(Tasks!$B$5:$B$504,$A101,Tasks!$M$5:$M$504,"OVERDUE"))</f>
        <v/>
      </c>
      <c r="O101" s="28" t="str">
        <f aca="false">IF(OR($A101="",K101=0),"",L101/(K101-COUNTIFS(Tasks!$B$5:$B$504,$A101,Tasks!$H$5:$H$504,"Cancelled")))</f>
        <v/>
      </c>
      <c r="P101" s="25"/>
      <c r="Q101" s="25"/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5"/>
      <c r="G102" s="25"/>
      <c r="H102" s="26"/>
      <c r="I102" s="26"/>
      <c r="J102" s="25"/>
      <c r="K102" s="27" t="str">
        <f aca="false">IF($A102="","",COUNTIF(Tasks!$B$5:$B$504,$A102))</f>
        <v/>
      </c>
      <c r="L102" s="27" t="str">
        <f aca="false">IF($A102="","",COUNTIFS(Tasks!$B$5:$B$504,$A102,Tasks!$H$5:$H$504,"Done"))</f>
        <v/>
      </c>
      <c r="M102" s="27" t="str">
        <f aca="false">IF($A102="","",K102-L102-COUNTIFS(Tasks!$B$5:$B$504,$A102,Tasks!$H$5:$H$504,"Cancelled"))</f>
        <v/>
      </c>
      <c r="N102" s="27" t="str">
        <f aca="false">IF($A102="","",COUNTIFS(Tasks!$B$5:$B$504,$A102,Tasks!$M$5:$M$504,"OVERDUE"))</f>
        <v/>
      </c>
      <c r="O102" s="28" t="str">
        <f aca="false">IF(OR($A102="",K102=0),"",L102/(K102-COUNTIFS(Tasks!$B$5:$B$504,$A102,Tasks!$H$5:$H$504,"Cancelled")))</f>
        <v/>
      </c>
      <c r="P102" s="25"/>
      <c r="Q102" s="25"/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5"/>
      <c r="G103" s="25"/>
      <c r="H103" s="26"/>
      <c r="I103" s="26"/>
      <c r="J103" s="25"/>
      <c r="K103" s="27" t="str">
        <f aca="false">IF($A103="","",COUNTIF(Tasks!$B$5:$B$504,$A103))</f>
        <v/>
      </c>
      <c r="L103" s="27" t="str">
        <f aca="false">IF($A103="","",COUNTIFS(Tasks!$B$5:$B$504,$A103,Tasks!$H$5:$H$504,"Done"))</f>
        <v/>
      </c>
      <c r="M103" s="27" t="str">
        <f aca="false">IF($A103="","",K103-L103-COUNTIFS(Tasks!$B$5:$B$504,$A103,Tasks!$H$5:$H$504,"Cancelled"))</f>
        <v/>
      </c>
      <c r="N103" s="27" t="str">
        <f aca="false">IF($A103="","",COUNTIFS(Tasks!$B$5:$B$504,$A103,Tasks!$M$5:$M$504,"OVERDUE"))</f>
        <v/>
      </c>
      <c r="O103" s="28" t="str">
        <f aca="false">IF(OR($A103="",K103=0),"",L103/(K103-COUNTIFS(Tasks!$B$5:$B$504,$A103,Tasks!$H$5:$H$504,"Cancelled")))</f>
        <v/>
      </c>
      <c r="P103" s="25"/>
      <c r="Q103" s="25"/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5"/>
      <c r="G104" s="25"/>
      <c r="H104" s="26"/>
      <c r="I104" s="26"/>
      <c r="J104" s="25"/>
      <c r="K104" s="27" t="str">
        <f aca="false">IF($A104="","",COUNTIF(Tasks!$B$5:$B$504,$A104))</f>
        <v/>
      </c>
      <c r="L104" s="27" t="str">
        <f aca="false">IF($A104="","",COUNTIFS(Tasks!$B$5:$B$504,$A104,Tasks!$H$5:$H$504,"Done"))</f>
        <v/>
      </c>
      <c r="M104" s="27" t="str">
        <f aca="false">IF($A104="","",K104-L104-COUNTIFS(Tasks!$B$5:$B$504,$A104,Tasks!$H$5:$H$504,"Cancelled"))</f>
        <v/>
      </c>
      <c r="N104" s="27" t="str">
        <f aca="false">IF($A104="","",COUNTIFS(Tasks!$B$5:$B$504,$A104,Tasks!$M$5:$M$504,"OVERDUE"))</f>
        <v/>
      </c>
      <c r="O104" s="28" t="str">
        <f aca="false">IF(OR($A104="",K104=0),"",L104/(K104-COUNTIFS(Tasks!$B$5:$B$504,$A104,Tasks!$H$5:$H$504,"Cancelled")))</f>
        <v/>
      </c>
      <c r="P104" s="25"/>
      <c r="Q104" s="25"/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5"/>
      <c r="G105" s="25"/>
      <c r="H105" s="26"/>
      <c r="I105" s="26"/>
      <c r="J105" s="25"/>
      <c r="K105" s="27" t="str">
        <f aca="false">IF($A105="","",COUNTIF(Tasks!$B$5:$B$504,$A105))</f>
        <v/>
      </c>
      <c r="L105" s="27" t="str">
        <f aca="false">IF($A105="","",COUNTIFS(Tasks!$B$5:$B$504,$A105,Tasks!$H$5:$H$504,"Done"))</f>
        <v/>
      </c>
      <c r="M105" s="27" t="str">
        <f aca="false">IF($A105="","",K105-L105-COUNTIFS(Tasks!$B$5:$B$504,$A105,Tasks!$H$5:$H$504,"Cancelled"))</f>
        <v/>
      </c>
      <c r="N105" s="27" t="str">
        <f aca="false">IF($A105="","",COUNTIFS(Tasks!$B$5:$B$504,$A105,Tasks!$M$5:$M$504,"OVERDUE"))</f>
        <v/>
      </c>
      <c r="O105" s="28" t="str">
        <f aca="false">IF(OR($A105="",K105=0),"",L105/(K105-COUNTIFS(Tasks!$B$5:$B$504,$A105,Tasks!$H$5:$H$504,"Cancelled")))</f>
        <v/>
      </c>
      <c r="P105" s="25"/>
      <c r="Q105" s="25"/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5"/>
      <c r="G106" s="25"/>
      <c r="H106" s="26"/>
      <c r="I106" s="26"/>
      <c r="J106" s="25"/>
      <c r="K106" s="27" t="str">
        <f aca="false">IF($A106="","",COUNTIF(Tasks!$B$5:$B$504,$A106))</f>
        <v/>
      </c>
      <c r="L106" s="27" t="str">
        <f aca="false">IF($A106="","",COUNTIFS(Tasks!$B$5:$B$504,$A106,Tasks!$H$5:$H$504,"Done"))</f>
        <v/>
      </c>
      <c r="M106" s="27" t="str">
        <f aca="false">IF($A106="","",K106-L106-COUNTIFS(Tasks!$B$5:$B$504,$A106,Tasks!$H$5:$H$504,"Cancelled"))</f>
        <v/>
      </c>
      <c r="N106" s="27" t="str">
        <f aca="false">IF($A106="","",COUNTIFS(Tasks!$B$5:$B$504,$A106,Tasks!$M$5:$M$504,"OVERDUE"))</f>
        <v/>
      </c>
      <c r="O106" s="28" t="str">
        <f aca="false">IF(OR($A106="",K106=0),"",L106/(K106-COUNTIFS(Tasks!$B$5:$B$504,$A106,Tasks!$H$5:$H$504,"Cancelled")))</f>
        <v/>
      </c>
      <c r="P106" s="25"/>
      <c r="Q106" s="25"/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5"/>
      <c r="G107" s="25"/>
      <c r="H107" s="26"/>
      <c r="I107" s="26"/>
      <c r="J107" s="25"/>
      <c r="K107" s="27" t="str">
        <f aca="false">IF($A107="","",COUNTIF(Tasks!$B$5:$B$504,$A107))</f>
        <v/>
      </c>
      <c r="L107" s="27" t="str">
        <f aca="false">IF($A107="","",COUNTIFS(Tasks!$B$5:$B$504,$A107,Tasks!$H$5:$H$504,"Done"))</f>
        <v/>
      </c>
      <c r="M107" s="27" t="str">
        <f aca="false">IF($A107="","",K107-L107-COUNTIFS(Tasks!$B$5:$B$504,$A107,Tasks!$H$5:$H$504,"Cancelled"))</f>
        <v/>
      </c>
      <c r="N107" s="27" t="str">
        <f aca="false">IF($A107="","",COUNTIFS(Tasks!$B$5:$B$504,$A107,Tasks!$M$5:$M$504,"OVERDUE"))</f>
        <v/>
      </c>
      <c r="O107" s="28" t="str">
        <f aca="false">IF(OR($A107="",K107=0),"",L107/(K107-COUNTIFS(Tasks!$B$5:$B$504,$A107,Tasks!$H$5:$H$504,"Cancelled")))</f>
        <v/>
      </c>
      <c r="P107" s="25"/>
      <c r="Q107" s="25"/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5"/>
      <c r="G108" s="25"/>
      <c r="H108" s="26"/>
      <c r="I108" s="26"/>
      <c r="J108" s="25"/>
      <c r="K108" s="27" t="str">
        <f aca="false">IF($A108="","",COUNTIF(Tasks!$B$5:$B$504,$A108))</f>
        <v/>
      </c>
      <c r="L108" s="27" t="str">
        <f aca="false">IF($A108="","",COUNTIFS(Tasks!$B$5:$B$504,$A108,Tasks!$H$5:$H$504,"Done"))</f>
        <v/>
      </c>
      <c r="M108" s="27" t="str">
        <f aca="false">IF($A108="","",K108-L108-COUNTIFS(Tasks!$B$5:$B$504,$A108,Tasks!$H$5:$H$504,"Cancelled"))</f>
        <v/>
      </c>
      <c r="N108" s="27" t="str">
        <f aca="false">IF($A108="","",COUNTIFS(Tasks!$B$5:$B$504,$A108,Tasks!$M$5:$M$504,"OVERDUE"))</f>
        <v/>
      </c>
      <c r="O108" s="28" t="str">
        <f aca="false">IF(OR($A108="",K108=0),"",L108/(K108-COUNTIFS(Tasks!$B$5:$B$504,$A108,Tasks!$H$5:$H$504,"Cancelled")))</f>
        <v/>
      </c>
      <c r="P108" s="25"/>
      <c r="Q108" s="25"/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5"/>
      <c r="G109" s="25"/>
      <c r="H109" s="26"/>
      <c r="I109" s="26"/>
      <c r="J109" s="25"/>
      <c r="K109" s="27" t="str">
        <f aca="false">IF($A109="","",COUNTIF(Tasks!$B$5:$B$504,$A109))</f>
        <v/>
      </c>
      <c r="L109" s="27" t="str">
        <f aca="false">IF($A109="","",COUNTIFS(Tasks!$B$5:$B$504,$A109,Tasks!$H$5:$H$504,"Done"))</f>
        <v/>
      </c>
      <c r="M109" s="27" t="str">
        <f aca="false">IF($A109="","",K109-L109-COUNTIFS(Tasks!$B$5:$B$504,$A109,Tasks!$H$5:$H$504,"Cancelled"))</f>
        <v/>
      </c>
      <c r="N109" s="27" t="str">
        <f aca="false">IF($A109="","",COUNTIFS(Tasks!$B$5:$B$504,$A109,Tasks!$M$5:$M$504,"OVERDUE"))</f>
        <v/>
      </c>
      <c r="O109" s="28" t="str">
        <f aca="false">IF(OR($A109="",K109=0),"",L109/(K109-COUNTIFS(Tasks!$B$5:$B$504,$A109,Tasks!$H$5:$H$504,"Cancelled")))</f>
        <v/>
      </c>
      <c r="P109" s="25"/>
      <c r="Q109" s="25"/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5"/>
      <c r="G110" s="25"/>
      <c r="H110" s="26"/>
      <c r="I110" s="26"/>
      <c r="J110" s="25"/>
      <c r="K110" s="27" t="str">
        <f aca="false">IF($A110="","",COUNTIF(Tasks!$B$5:$B$504,$A110))</f>
        <v/>
      </c>
      <c r="L110" s="27" t="str">
        <f aca="false">IF($A110="","",COUNTIFS(Tasks!$B$5:$B$504,$A110,Tasks!$H$5:$H$504,"Done"))</f>
        <v/>
      </c>
      <c r="M110" s="27" t="str">
        <f aca="false">IF($A110="","",K110-L110-COUNTIFS(Tasks!$B$5:$B$504,$A110,Tasks!$H$5:$H$504,"Cancelled"))</f>
        <v/>
      </c>
      <c r="N110" s="27" t="str">
        <f aca="false">IF($A110="","",COUNTIFS(Tasks!$B$5:$B$504,$A110,Tasks!$M$5:$M$504,"OVERDUE"))</f>
        <v/>
      </c>
      <c r="O110" s="28" t="str">
        <f aca="false">IF(OR($A110="",K110=0),"",L110/(K110-COUNTIFS(Tasks!$B$5:$B$504,$A110,Tasks!$H$5:$H$504,"Cancelled")))</f>
        <v/>
      </c>
      <c r="P110" s="25"/>
      <c r="Q110" s="25"/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5"/>
      <c r="G111" s="25"/>
      <c r="H111" s="26"/>
      <c r="I111" s="26"/>
      <c r="J111" s="25"/>
      <c r="K111" s="27" t="str">
        <f aca="false">IF($A111="","",COUNTIF(Tasks!$B$5:$B$504,$A111))</f>
        <v/>
      </c>
      <c r="L111" s="27" t="str">
        <f aca="false">IF($A111="","",COUNTIFS(Tasks!$B$5:$B$504,$A111,Tasks!$H$5:$H$504,"Done"))</f>
        <v/>
      </c>
      <c r="M111" s="27" t="str">
        <f aca="false">IF($A111="","",K111-L111-COUNTIFS(Tasks!$B$5:$B$504,$A111,Tasks!$H$5:$H$504,"Cancelled"))</f>
        <v/>
      </c>
      <c r="N111" s="27" t="str">
        <f aca="false">IF($A111="","",COUNTIFS(Tasks!$B$5:$B$504,$A111,Tasks!$M$5:$M$504,"OVERDUE"))</f>
        <v/>
      </c>
      <c r="O111" s="28" t="str">
        <f aca="false">IF(OR($A111="",K111=0),"",L111/(K111-COUNTIFS(Tasks!$B$5:$B$504,$A111,Tasks!$H$5:$H$504,"Cancelled")))</f>
        <v/>
      </c>
      <c r="P111" s="25"/>
      <c r="Q111" s="25"/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5"/>
      <c r="G112" s="25"/>
      <c r="H112" s="26"/>
      <c r="I112" s="26"/>
      <c r="J112" s="25"/>
      <c r="K112" s="27" t="str">
        <f aca="false">IF($A112="","",COUNTIF(Tasks!$B$5:$B$504,$A112))</f>
        <v/>
      </c>
      <c r="L112" s="27" t="str">
        <f aca="false">IF($A112="","",COUNTIFS(Tasks!$B$5:$B$504,$A112,Tasks!$H$5:$H$504,"Done"))</f>
        <v/>
      </c>
      <c r="M112" s="27" t="str">
        <f aca="false">IF($A112="","",K112-L112-COUNTIFS(Tasks!$B$5:$B$504,$A112,Tasks!$H$5:$H$504,"Cancelled"))</f>
        <v/>
      </c>
      <c r="N112" s="27" t="str">
        <f aca="false">IF($A112="","",COUNTIFS(Tasks!$B$5:$B$504,$A112,Tasks!$M$5:$M$504,"OVERDUE"))</f>
        <v/>
      </c>
      <c r="O112" s="28" t="str">
        <f aca="false">IF(OR($A112="",K112=0),"",L112/(K112-COUNTIFS(Tasks!$B$5:$B$504,$A112,Tasks!$H$5:$H$504,"Cancelled")))</f>
        <v/>
      </c>
      <c r="P112" s="25"/>
      <c r="Q112" s="25"/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5"/>
      <c r="G113" s="25"/>
      <c r="H113" s="26"/>
      <c r="I113" s="26"/>
      <c r="J113" s="25"/>
      <c r="K113" s="27" t="str">
        <f aca="false">IF($A113="","",COUNTIF(Tasks!$B$5:$B$504,$A113))</f>
        <v/>
      </c>
      <c r="L113" s="27" t="str">
        <f aca="false">IF($A113="","",COUNTIFS(Tasks!$B$5:$B$504,$A113,Tasks!$H$5:$H$504,"Done"))</f>
        <v/>
      </c>
      <c r="M113" s="27" t="str">
        <f aca="false">IF($A113="","",K113-L113-COUNTIFS(Tasks!$B$5:$B$504,$A113,Tasks!$H$5:$H$504,"Cancelled"))</f>
        <v/>
      </c>
      <c r="N113" s="27" t="str">
        <f aca="false">IF($A113="","",COUNTIFS(Tasks!$B$5:$B$504,$A113,Tasks!$M$5:$M$504,"OVERDUE"))</f>
        <v/>
      </c>
      <c r="O113" s="28" t="str">
        <f aca="false">IF(OR($A113="",K113=0),"",L113/(K113-COUNTIFS(Tasks!$B$5:$B$504,$A113,Tasks!$H$5:$H$504,"Cancelled")))</f>
        <v/>
      </c>
      <c r="P113" s="25"/>
      <c r="Q113" s="25"/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5"/>
      <c r="G114" s="25"/>
      <c r="H114" s="26"/>
      <c r="I114" s="26"/>
      <c r="J114" s="25"/>
      <c r="K114" s="27" t="str">
        <f aca="false">IF($A114="","",COUNTIF(Tasks!$B$5:$B$504,$A114))</f>
        <v/>
      </c>
      <c r="L114" s="27" t="str">
        <f aca="false">IF($A114="","",COUNTIFS(Tasks!$B$5:$B$504,$A114,Tasks!$H$5:$H$504,"Done"))</f>
        <v/>
      </c>
      <c r="M114" s="27" t="str">
        <f aca="false">IF($A114="","",K114-L114-COUNTIFS(Tasks!$B$5:$B$504,$A114,Tasks!$H$5:$H$504,"Cancelled"))</f>
        <v/>
      </c>
      <c r="N114" s="27" t="str">
        <f aca="false">IF($A114="","",COUNTIFS(Tasks!$B$5:$B$504,$A114,Tasks!$M$5:$M$504,"OVERDUE"))</f>
        <v/>
      </c>
      <c r="O114" s="28" t="str">
        <f aca="false">IF(OR($A114="",K114=0),"",L114/(K114-COUNTIFS(Tasks!$B$5:$B$504,$A114,Tasks!$H$5:$H$504,"Cancelled")))</f>
        <v/>
      </c>
      <c r="P114" s="25"/>
      <c r="Q114" s="25"/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5"/>
      <c r="G115" s="25"/>
      <c r="H115" s="26"/>
      <c r="I115" s="26"/>
      <c r="J115" s="25"/>
      <c r="K115" s="27" t="str">
        <f aca="false">IF($A115="","",COUNTIF(Tasks!$B$5:$B$504,$A115))</f>
        <v/>
      </c>
      <c r="L115" s="27" t="str">
        <f aca="false">IF($A115="","",COUNTIFS(Tasks!$B$5:$B$504,$A115,Tasks!$H$5:$H$504,"Done"))</f>
        <v/>
      </c>
      <c r="M115" s="27" t="str">
        <f aca="false">IF($A115="","",K115-L115-COUNTIFS(Tasks!$B$5:$B$504,$A115,Tasks!$H$5:$H$504,"Cancelled"))</f>
        <v/>
      </c>
      <c r="N115" s="27" t="str">
        <f aca="false">IF($A115="","",COUNTIFS(Tasks!$B$5:$B$504,$A115,Tasks!$M$5:$M$504,"OVERDUE"))</f>
        <v/>
      </c>
      <c r="O115" s="28" t="str">
        <f aca="false">IF(OR($A115="",K115=0),"",L115/(K115-COUNTIFS(Tasks!$B$5:$B$504,$A115,Tasks!$H$5:$H$504,"Cancelled")))</f>
        <v/>
      </c>
      <c r="P115" s="25"/>
      <c r="Q115" s="25"/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5"/>
      <c r="G116" s="25"/>
      <c r="H116" s="26"/>
      <c r="I116" s="26"/>
      <c r="J116" s="25"/>
      <c r="K116" s="27" t="str">
        <f aca="false">IF($A116="","",COUNTIF(Tasks!$B$5:$B$504,$A116))</f>
        <v/>
      </c>
      <c r="L116" s="27" t="str">
        <f aca="false">IF($A116="","",COUNTIFS(Tasks!$B$5:$B$504,$A116,Tasks!$H$5:$H$504,"Done"))</f>
        <v/>
      </c>
      <c r="M116" s="27" t="str">
        <f aca="false">IF($A116="","",K116-L116-COUNTIFS(Tasks!$B$5:$B$504,$A116,Tasks!$H$5:$H$504,"Cancelled"))</f>
        <v/>
      </c>
      <c r="N116" s="27" t="str">
        <f aca="false">IF($A116="","",COUNTIFS(Tasks!$B$5:$B$504,$A116,Tasks!$M$5:$M$504,"OVERDUE"))</f>
        <v/>
      </c>
      <c r="O116" s="28" t="str">
        <f aca="false">IF(OR($A116="",K116=0),"",L116/(K116-COUNTIFS(Tasks!$B$5:$B$504,$A116,Tasks!$H$5:$H$504,"Cancelled")))</f>
        <v/>
      </c>
      <c r="P116" s="25"/>
      <c r="Q116" s="25"/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5"/>
      <c r="G117" s="25"/>
      <c r="H117" s="26"/>
      <c r="I117" s="26"/>
      <c r="J117" s="25"/>
      <c r="K117" s="27" t="str">
        <f aca="false">IF($A117="","",COUNTIF(Tasks!$B$5:$B$504,$A117))</f>
        <v/>
      </c>
      <c r="L117" s="27" t="str">
        <f aca="false">IF($A117="","",COUNTIFS(Tasks!$B$5:$B$504,$A117,Tasks!$H$5:$H$504,"Done"))</f>
        <v/>
      </c>
      <c r="M117" s="27" t="str">
        <f aca="false">IF($A117="","",K117-L117-COUNTIFS(Tasks!$B$5:$B$504,$A117,Tasks!$H$5:$H$504,"Cancelled"))</f>
        <v/>
      </c>
      <c r="N117" s="27" t="str">
        <f aca="false">IF($A117="","",COUNTIFS(Tasks!$B$5:$B$504,$A117,Tasks!$M$5:$M$504,"OVERDUE"))</f>
        <v/>
      </c>
      <c r="O117" s="28" t="str">
        <f aca="false">IF(OR($A117="",K117=0),"",L117/(K117-COUNTIFS(Tasks!$B$5:$B$504,$A117,Tasks!$H$5:$H$504,"Cancelled")))</f>
        <v/>
      </c>
      <c r="P117" s="25"/>
      <c r="Q117" s="25"/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5"/>
      <c r="G118" s="25"/>
      <c r="H118" s="26"/>
      <c r="I118" s="26"/>
      <c r="J118" s="25"/>
      <c r="K118" s="27" t="str">
        <f aca="false">IF($A118="","",COUNTIF(Tasks!$B$5:$B$504,$A118))</f>
        <v/>
      </c>
      <c r="L118" s="27" t="str">
        <f aca="false">IF($A118="","",COUNTIFS(Tasks!$B$5:$B$504,$A118,Tasks!$H$5:$H$504,"Done"))</f>
        <v/>
      </c>
      <c r="M118" s="27" t="str">
        <f aca="false">IF($A118="","",K118-L118-COUNTIFS(Tasks!$B$5:$B$504,$A118,Tasks!$H$5:$H$504,"Cancelled"))</f>
        <v/>
      </c>
      <c r="N118" s="27" t="str">
        <f aca="false">IF($A118="","",COUNTIFS(Tasks!$B$5:$B$504,$A118,Tasks!$M$5:$M$504,"OVERDUE"))</f>
        <v/>
      </c>
      <c r="O118" s="28" t="str">
        <f aca="false">IF(OR($A118="",K118=0),"",L118/(K118-COUNTIFS(Tasks!$B$5:$B$504,$A118,Tasks!$H$5:$H$504,"Cancelled")))</f>
        <v/>
      </c>
      <c r="P118" s="25"/>
      <c r="Q118" s="25"/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5"/>
      <c r="G119" s="25"/>
      <c r="H119" s="26"/>
      <c r="I119" s="26"/>
      <c r="J119" s="25"/>
      <c r="K119" s="27" t="str">
        <f aca="false">IF($A119="","",COUNTIF(Tasks!$B$5:$B$504,$A119))</f>
        <v/>
      </c>
      <c r="L119" s="27" t="str">
        <f aca="false">IF($A119="","",COUNTIFS(Tasks!$B$5:$B$504,$A119,Tasks!$H$5:$H$504,"Done"))</f>
        <v/>
      </c>
      <c r="M119" s="27" t="str">
        <f aca="false">IF($A119="","",K119-L119-COUNTIFS(Tasks!$B$5:$B$504,$A119,Tasks!$H$5:$H$504,"Cancelled"))</f>
        <v/>
      </c>
      <c r="N119" s="27" t="str">
        <f aca="false">IF($A119="","",COUNTIFS(Tasks!$B$5:$B$504,$A119,Tasks!$M$5:$M$504,"OVERDUE"))</f>
        <v/>
      </c>
      <c r="O119" s="28" t="str">
        <f aca="false">IF(OR($A119="",K119=0),"",L119/(K119-COUNTIFS(Tasks!$B$5:$B$504,$A119,Tasks!$H$5:$H$504,"Cancelled")))</f>
        <v/>
      </c>
      <c r="P119" s="25"/>
      <c r="Q119" s="25"/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5"/>
      <c r="G120" s="25"/>
      <c r="H120" s="26"/>
      <c r="I120" s="26"/>
      <c r="J120" s="25"/>
      <c r="K120" s="27" t="str">
        <f aca="false">IF($A120="","",COUNTIF(Tasks!$B$5:$B$504,$A120))</f>
        <v/>
      </c>
      <c r="L120" s="27" t="str">
        <f aca="false">IF($A120="","",COUNTIFS(Tasks!$B$5:$B$504,$A120,Tasks!$H$5:$H$504,"Done"))</f>
        <v/>
      </c>
      <c r="M120" s="27" t="str">
        <f aca="false">IF($A120="","",K120-L120-COUNTIFS(Tasks!$B$5:$B$504,$A120,Tasks!$H$5:$H$504,"Cancelled"))</f>
        <v/>
      </c>
      <c r="N120" s="27" t="str">
        <f aca="false">IF($A120="","",COUNTIFS(Tasks!$B$5:$B$504,$A120,Tasks!$M$5:$M$504,"OVERDUE"))</f>
        <v/>
      </c>
      <c r="O120" s="28" t="str">
        <f aca="false">IF(OR($A120="",K120=0),"",L120/(K120-COUNTIFS(Tasks!$B$5:$B$504,$A120,Tasks!$H$5:$H$504,"Cancelled")))</f>
        <v/>
      </c>
      <c r="P120" s="25"/>
      <c r="Q120" s="25"/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5"/>
      <c r="G121" s="25"/>
      <c r="H121" s="26"/>
      <c r="I121" s="26"/>
      <c r="J121" s="25"/>
      <c r="K121" s="27" t="str">
        <f aca="false">IF($A121="","",COUNTIF(Tasks!$B$5:$B$504,$A121))</f>
        <v/>
      </c>
      <c r="L121" s="27" t="str">
        <f aca="false">IF($A121="","",COUNTIFS(Tasks!$B$5:$B$504,$A121,Tasks!$H$5:$H$504,"Done"))</f>
        <v/>
      </c>
      <c r="M121" s="27" t="str">
        <f aca="false">IF($A121="","",K121-L121-COUNTIFS(Tasks!$B$5:$B$504,$A121,Tasks!$H$5:$H$504,"Cancelled"))</f>
        <v/>
      </c>
      <c r="N121" s="27" t="str">
        <f aca="false">IF($A121="","",COUNTIFS(Tasks!$B$5:$B$504,$A121,Tasks!$M$5:$M$504,"OVERDUE"))</f>
        <v/>
      </c>
      <c r="O121" s="28" t="str">
        <f aca="false">IF(OR($A121="",K121=0),"",L121/(K121-COUNTIFS(Tasks!$B$5:$B$504,$A121,Tasks!$H$5:$H$504,"Cancelled")))</f>
        <v/>
      </c>
      <c r="P121" s="25"/>
      <c r="Q121" s="25"/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5"/>
      <c r="G122" s="25"/>
      <c r="H122" s="26"/>
      <c r="I122" s="26"/>
      <c r="J122" s="25"/>
      <c r="K122" s="27" t="str">
        <f aca="false">IF($A122="","",COUNTIF(Tasks!$B$5:$B$504,$A122))</f>
        <v/>
      </c>
      <c r="L122" s="27" t="str">
        <f aca="false">IF($A122="","",COUNTIFS(Tasks!$B$5:$B$504,$A122,Tasks!$H$5:$H$504,"Done"))</f>
        <v/>
      </c>
      <c r="M122" s="27" t="str">
        <f aca="false">IF($A122="","",K122-L122-COUNTIFS(Tasks!$B$5:$B$504,$A122,Tasks!$H$5:$H$504,"Cancelled"))</f>
        <v/>
      </c>
      <c r="N122" s="27" t="str">
        <f aca="false">IF($A122="","",COUNTIFS(Tasks!$B$5:$B$504,$A122,Tasks!$M$5:$M$504,"OVERDUE"))</f>
        <v/>
      </c>
      <c r="O122" s="28" t="str">
        <f aca="false">IF(OR($A122="",K122=0),"",L122/(K122-COUNTIFS(Tasks!$B$5:$B$504,$A122,Tasks!$H$5:$H$504,"Cancelled")))</f>
        <v/>
      </c>
      <c r="P122" s="25"/>
      <c r="Q122" s="25"/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5"/>
      <c r="G123" s="25"/>
      <c r="H123" s="26"/>
      <c r="I123" s="26"/>
      <c r="J123" s="25"/>
      <c r="K123" s="27" t="str">
        <f aca="false">IF($A123="","",COUNTIF(Tasks!$B$5:$B$504,$A123))</f>
        <v/>
      </c>
      <c r="L123" s="27" t="str">
        <f aca="false">IF($A123="","",COUNTIFS(Tasks!$B$5:$B$504,$A123,Tasks!$H$5:$H$504,"Done"))</f>
        <v/>
      </c>
      <c r="M123" s="27" t="str">
        <f aca="false">IF($A123="","",K123-L123-COUNTIFS(Tasks!$B$5:$B$504,$A123,Tasks!$H$5:$H$504,"Cancelled"))</f>
        <v/>
      </c>
      <c r="N123" s="27" t="str">
        <f aca="false">IF($A123="","",COUNTIFS(Tasks!$B$5:$B$504,$A123,Tasks!$M$5:$M$504,"OVERDUE"))</f>
        <v/>
      </c>
      <c r="O123" s="28" t="str">
        <f aca="false">IF(OR($A123="",K123=0),"",L123/(K123-COUNTIFS(Tasks!$B$5:$B$504,$A123,Tasks!$H$5:$H$504,"Cancelled")))</f>
        <v/>
      </c>
      <c r="P123" s="25"/>
      <c r="Q123" s="25"/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5"/>
      <c r="G124" s="25"/>
      <c r="H124" s="26"/>
      <c r="I124" s="26"/>
      <c r="J124" s="25"/>
      <c r="K124" s="27" t="str">
        <f aca="false">IF($A124="","",COUNTIF(Tasks!$B$5:$B$504,$A124))</f>
        <v/>
      </c>
      <c r="L124" s="27" t="str">
        <f aca="false">IF($A124="","",COUNTIFS(Tasks!$B$5:$B$504,$A124,Tasks!$H$5:$H$504,"Done"))</f>
        <v/>
      </c>
      <c r="M124" s="27" t="str">
        <f aca="false">IF($A124="","",K124-L124-COUNTIFS(Tasks!$B$5:$B$504,$A124,Tasks!$H$5:$H$504,"Cancelled"))</f>
        <v/>
      </c>
      <c r="N124" s="27" t="str">
        <f aca="false">IF($A124="","",COUNTIFS(Tasks!$B$5:$B$504,$A124,Tasks!$M$5:$M$504,"OVERDUE"))</f>
        <v/>
      </c>
      <c r="O124" s="28" t="str">
        <f aca="false">IF(OR($A124="",K124=0),"",L124/(K124-COUNTIFS(Tasks!$B$5:$B$504,$A124,Tasks!$H$5:$H$504,"Cancelled")))</f>
        <v/>
      </c>
      <c r="P124" s="25"/>
      <c r="Q124" s="25"/>
    </row>
    <row r="125" customFormat="false" ht="15" hidden="false" customHeight="false" outlineLevel="0" collapsed="false">
      <c r="A125" s="25"/>
      <c r="B125" s="25"/>
      <c r="C125" s="25"/>
      <c r="D125" s="25"/>
      <c r="E125" s="25"/>
      <c r="F125" s="25"/>
      <c r="G125" s="25"/>
      <c r="H125" s="26"/>
      <c r="I125" s="26"/>
      <c r="J125" s="25"/>
      <c r="K125" s="27" t="str">
        <f aca="false">IF($A125="","",COUNTIF(Tasks!$B$5:$B$504,$A125))</f>
        <v/>
      </c>
      <c r="L125" s="27" t="str">
        <f aca="false">IF($A125="","",COUNTIFS(Tasks!$B$5:$B$504,$A125,Tasks!$H$5:$H$504,"Done"))</f>
        <v/>
      </c>
      <c r="M125" s="27" t="str">
        <f aca="false">IF($A125="","",K125-L125-COUNTIFS(Tasks!$B$5:$B$504,$A125,Tasks!$H$5:$H$504,"Cancelled"))</f>
        <v/>
      </c>
      <c r="N125" s="27" t="str">
        <f aca="false">IF($A125="","",COUNTIFS(Tasks!$B$5:$B$504,$A125,Tasks!$M$5:$M$504,"OVERDUE"))</f>
        <v/>
      </c>
      <c r="O125" s="28" t="str">
        <f aca="false">IF(OR($A125="",K125=0),"",L125/(K125-COUNTIFS(Tasks!$B$5:$B$504,$A125,Tasks!$H$5:$H$504,"Cancelled")))</f>
        <v/>
      </c>
      <c r="P125" s="25"/>
      <c r="Q125" s="25"/>
    </row>
    <row r="126" customFormat="false" ht="15" hidden="false" customHeight="false" outlineLevel="0" collapsed="false">
      <c r="A126" s="25"/>
      <c r="B126" s="25"/>
      <c r="C126" s="25"/>
      <c r="D126" s="25"/>
      <c r="E126" s="25"/>
      <c r="F126" s="25"/>
      <c r="G126" s="25"/>
      <c r="H126" s="26"/>
      <c r="I126" s="26"/>
      <c r="J126" s="25"/>
      <c r="K126" s="27" t="str">
        <f aca="false">IF($A126="","",COUNTIF(Tasks!$B$5:$B$504,$A126))</f>
        <v/>
      </c>
      <c r="L126" s="27" t="str">
        <f aca="false">IF($A126="","",COUNTIFS(Tasks!$B$5:$B$504,$A126,Tasks!$H$5:$H$504,"Done"))</f>
        <v/>
      </c>
      <c r="M126" s="27" t="str">
        <f aca="false">IF($A126="","",K126-L126-COUNTIFS(Tasks!$B$5:$B$504,$A126,Tasks!$H$5:$H$504,"Cancelled"))</f>
        <v/>
      </c>
      <c r="N126" s="27" t="str">
        <f aca="false">IF($A126="","",COUNTIFS(Tasks!$B$5:$B$504,$A126,Tasks!$M$5:$M$504,"OVERDUE"))</f>
        <v/>
      </c>
      <c r="O126" s="28" t="str">
        <f aca="false">IF(OR($A126="",K126=0),"",L126/(K126-COUNTIFS(Tasks!$B$5:$B$504,$A126,Tasks!$H$5:$H$504,"Cancelled")))</f>
        <v/>
      </c>
      <c r="P126" s="25"/>
      <c r="Q126" s="25"/>
    </row>
    <row r="127" customFormat="false" ht="15" hidden="false" customHeight="false" outlineLevel="0" collapsed="false">
      <c r="A127" s="25"/>
      <c r="B127" s="25"/>
      <c r="C127" s="25"/>
      <c r="D127" s="25"/>
      <c r="E127" s="25"/>
      <c r="F127" s="25"/>
      <c r="G127" s="25"/>
      <c r="H127" s="26"/>
      <c r="I127" s="26"/>
      <c r="J127" s="25"/>
      <c r="K127" s="27" t="str">
        <f aca="false">IF($A127="","",COUNTIF(Tasks!$B$5:$B$504,$A127))</f>
        <v/>
      </c>
      <c r="L127" s="27" t="str">
        <f aca="false">IF($A127="","",COUNTIFS(Tasks!$B$5:$B$504,$A127,Tasks!$H$5:$H$504,"Done"))</f>
        <v/>
      </c>
      <c r="M127" s="27" t="str">
        <f aca="false">IF($A127="","",K127-L127-COUNTIFS(Tasks!$B$5:$B$504,$A127,Tasks!$H$5:$H$504,"Cancelled"))</f>
        <v/>
      </c>
      <c r="N127" s="27" t="str">
        <f aca="false">IF($A127="","",COUNTIFS(Tasks!$B$5:$B$504,$A127,Tasks!$M$5:$M$504,"OVERDUE"))</f>
        <v/>
      </c>
      <c r="O127" s="28" t="str">
        <f aca="false">IF(OR($A127="",K127=0),"",L127/(K127-COUNTIFS(Tasks!$B$5:$B$504,$A127,Tasks!$H$5:$H$504,"Cancelled")))</f>
        <v/>
      </c>
      <c r="P127" s="25"/>
      <c r="Q127" s="25"/>
    </row>
    <row r="128" customFormat="false" ht="15" hidden="false" customHeight="false" outlineLevel="0" collapsed="false">
      <c r="A128" s="25"/>
      <c r="B128" s="25"/>
      <c r="C128" s="25"/>
      <c r="D128" s="25"/>
      <c r="E128" s="25"/>
      <c r="F128" s="25"/>
      <c r="G128" s="25"/>
      <c r="H128" s="26"/>
      <c r="I128" s="26"/>
      <c r="J128" s="25"/>
      <c r="K128" s="27" t="str">
        <f aca="false">IF($A128="","",COUNTIF(Tasks!$B$5:$B$504,$A128))</f>
        <v/>
      </c>
      <c r="L128" s="27" t="str">
        <f aca="false">IF($A128="","",COUNTIFS(Tasks!$B$5:$B$504,$A128,Tasks!$H$5:$H$504,"Done"))</f>
        <v/>
      </c>
      <c r="M128" s="27" t="str">
        <f aca="false">IF($A128="","",K128-L128-COUNTIFS(Tasks!$B$5:$B$504,$A128,Tasks!$H$5:$H$504,"Cancelled"))</f>
        <v/>
      </c>
      <c r="N128" s="27" t="str">
        <f aca="false">IF($A128="","",COUNTIFS(Tasks!$B$5:$B$504,$A128,Tasks!$M$5:$M$504,"OVERDUE"))</f>
        <v/>
      </c>
      <c r="O128" s="28" t="str">
        <f aca="false">IF(OR($A128="",K128=0),"",L128/(K128-COUNTIFS(Tasks!$B$5:$B$504,$A128,Tasks!$H$5:$H$504,"Cancelled")))</f>
        <v/>
      </c>
      <c r="P128" s="25"/>
      <c r="Q128" s="25"/>
    </row>
    <row r="129" customFormat="false" ht="15" hidden="false" customHeight="false" outlineLevel="0" collapsed="false">
      <c r="A129" s="25"/>
      <c r="B129" s="25"/>
      <c r="C129" s="25"/>
      <c r="D129" s="25"/>
      <c r="E129" s="25"/>
      <c r="F129" s="25"/>
      <c r="G129" s="25"/>
      <c r="H129" s="26"/>
      <c r="I129" s="26"/>
      <c r="J129" s="25"/>
      <c r="K129" s="27" t="str">
        <f aca="false">IF($A129="","",COUNTIF(Tasks!$B$5:$B$504,$A129))</f>
        <v/>
      </c>
      <c r="L129" s="27" t="str">
        <f aca="false">IF($A129="","",COUNTIFS(Tasks!$B$5:$B$504,$A129,Tasks!$H$5:$H$504,"Done"))</f>
        <v/>
      </c>
      <c r="M129" s="27" t="str">
        <f aca="false">IF($A129="","",K129-L129-COUNTIFS(Tasks!$B$5:$B$504,$A129,Tasks!$H$5:$H$504,"Cancelled"))</f>
        <v/>
      </c>
      <c r="N129" s="27" t="str">
        <f aca="false">IF($A129="","",COUNTIFS(Tasks!$B$5:$B$504,$A129,Tasks!$M$5:$M$504,"OVERDUE"))</f>
        <v/>
      </c>
      <c r="O129" s="28" t="str">
        <f aca="false">IF(OR($A129="",K129=0),"",L129/(K129-COUNTIFS(Tasks!$B$5:$B$504,$A129,Tasks!$H$5:$H$504,"Cancelled")))</f>
        <v/>
      </c>
      <c r="P129" s="25"/>
      <c r="Q129" s="25"/>
    </row>
    <row r="130" customFormat="false" ht="15" hidden="false" customHeight="false" outlineLevel="0" collapsed="false">
      <c r="A130" s="25"/>
      <c r="B130" s="25"/>
      <c r="C130" s="25"/>
      <c r="D130" s="25"/>
      <c r="E130" s="25"/>
      <c r="F130" s="25"/>
      <c r="G130" s="25"/>
      <c r="H130" s="26"/>
      <c r="I130" s="26"/>
      <c r="J130" s="25"/>
      <c r="K130" s="27" t="str">
        <f aca="false">IF($A130="","",COUNTIF(Tasks!$B$5:$B$504,$A130))</f>
        <v/>
      </c>
      <c r="L130" s="27" t="str">
        <f aca="false">IF($A130="","",COUNTIFS(Tasks!$B$5:$B$504,$A130,Tasks!$H$5:$H$504,"Done"))</f>
        <v/>
      </c>
      <c r="M130" s="27" t="str">
        <f aca="false">IF($A130="","",K130-L130-COUNTIFS(Tasks!$B$5:$B$504,$A130,Tasks!$H$5:$H$504,"Cancelled"))</f>
        <v/>
      </c>
      <c r="N130" s="27" t="str">
        <f aca="false">IF($A130="","",COUNTIFS(Tasks!$B$5:$B$504,$A130,Tasks!$M$5:$M$504,"OVERDUE"))</f>
        <v/>
      </c>
      <c r="O130" s="28" t="str">
        <f aca="false">IF(OR($A130="",K130=0),"",L130/(K130-COUNTIFS(Tasks!$B$5:$B$504,$A130,Tasks!$H$5:$H$504,"Cancelled")))</f>
        <v/>
      </c>
      <c r="P130" s="25"/>
      <c r="Q130" s="25"/>
    </row>
    <row r="131" customFormat="false" ht="15" hidden="false" customHeight="false" outlineLevel="0" collapsed="false">
      <c r="A131" s="25"/>
      <c r="B131" s="25"/>
      <c r="C131" s="25"/>
      <c r="D131" s="25"/>
      <c r="E131" s="25"/>
      <c r="F131" s="25"/>
      <c r="G131" s="25"/>
      <c r="H131" s="26"/>
      <c r="I131" s="26"/>
      <c r="J131" s="25"/>
      <c r="K131" s="27" t="str">
        <f aca="false">IF($A131="","",COUNTIF(Tasks!$B$5:$B$504,$A131))</f>
        <v/>
      </c>
      <c r="L131" s="27" t="str">
        <f aca="false">IF($A131="","",COUNTIFS(Tasks!$B$5:$B$504,$A131,Tasks!$H$5:$H$504,"Done"))</f>
        <v/>
      </c>
      <c r="M131" s="27" t="str">
        <f aca="false">IF($A131="","",K131-L131-COUNTIFS(Tasks!$B$5:$B$504,$A131,Tasks!$H$5:$H$504,"Cancelled"))</f>
        <v/>
      </c>
      <c r="N131" s="27" t="str">
        <f aca="false">IF($A131="","",COUNTIFS(Tasks!$B$5:$B$504,$A131,Tasks!$M$5:$M$504,"OVERDUE"))</f>
        <v/>
      </c>
      <c r="O131" s="28" t="str">
        <f aca="false">IF(OR($A131="",K131=0),"",L131/(K131-COUNTIFS(Tasks!$B$5:$B$504,$A131,Tasks!$H$5:$H$504,"Cancelled")))</f>
        <v/>
      </c>
      <c r="P131" s="25"/>
      <c r="Q131" s="25"/>
    </row>
    <row r="132" customFormat="false" ht="15" hidden="false" customHeight="false" outlineLevel="0" collapsed="false">
      <c r="A132" s="25"/>
      <c r="B132" s="25"/>
      <c r="C132" s="25"/>
      <c r="D132" s="25"/>
      <c r="E132" s="25"/>
      <c r="F132" s="25"/>
      <c r="G132" s="25"/>
      <c r="H132" s="26"/>
      <c r="I132" s="26"/>
      <c r="J132" s="25"/>
      <c r="K132" s="27" t="str">
        <f aca="false">IF($A132="","",COUNTIF(Tasks!$B$5:$B$504,$A132))</f>
        <v/>
      </c>
      <c r="L132" s="27" t="str">
        <f aca="false">IF($A132="","",COUNTIFS(Tasks!$B$5:$B$504,$A132,Tasks!$H$5:$H$504,"Done"))</f>
        <v/>
      </c>
      <c r="M132" s="27" t="str">
        <f aca="false">IF($A132="","",K132-L132-COUNTIFS(Tasks!$B$5:$B$504,$A132,Tasks!$H$5:$H$504,"Cancelled"))</f>
        <v/>
      </c>
      <c r="N132" s="27" t="str">
        <f aca="false">IF($A132="","",COUNTIFS(Tasks!$B$5:$B$504,$A132,Tasks!$M$5:$M$504,"OVERDUE"))</f>
        <v/>
      </c>
      <c r="O132" s="28" t="str">
        <f aca="false">IF(OR($A132="",K132=0),"",L132/(K132-COUNTIFS(Tasks!$B$5:$B$504,$A132,Tasks!$H$5:$H$504,"Cancelled")))</f>
        <v/>
      </c>
      <c r="P132" s="25"/>
      <c r="Q132" s="25"/>
    </row>
    <row r="133" customFormat="false" ht="15" hidden="false" customHeight="false" outlineLevel="0" collapsed="false">
      <c r="A133" s="25"/>
      <c r="B133" s="25"/>
      <c r="C133" s="25"/>
      <c r="D133" s="25"/>
      <c r="E133" s="25"/>
      <c r="F133" s="25"/>
      <c r="G133" s="25"/>
      <c r="H133" s="26"/>
      <c r="I133" s="26"/>
      <c r="J133" s="25"/>
      <c r="K133" s="27" t="str">
        <f aca="false">IF($A133="","",COUNTIF(Tasks!$B$5:$B$504,$A133))</f>
        <v/>
      </c>
      <c r="L133" s="27" t="str">
        <f aca="false">IF($A133="","",COUNTIFS(Tasks!$B$5:$B$504,$A133,Tasks!$H$5:$H$504,"Done"))</f>
        <v/>
      </c>
      <c r="M133" s="27" t="str">
        <f aca="false">IF($A133="","",K133-L133-COUNTIFS(Tasks!$B$5:$B$504,$A133,Tasks!$H$5:$H$504,"Cancelled"))</f>
        <v/>
      </c>
      <c r="N133" s="27" t="str">
        <f aca="false">IF($A133="","",COUNTIFS(Tasks!$B$5:$B$504,$A133,Tasks!$M$5:$M$504,"OVERDUE"))</f>
        <v/>
      </c>
      <c r="O133" s="28" t="str">
        <f aca="false">IF(OR($A133="",K133=0),"",L133/(K133-COUNTIFS(Tasks!$B$5:$B$504,$A133,Tasks!$H$5:$H$504,"Cancelled")))</f>
        <v/>
      </c>
      <c r="P133" s="25"/>
      <c r="Q133" s="25"/>
    </row>
    <row r="134" customFormat="false" ht="15" hidden="false" customHeight="false" outlineLevel="0" collapsed="false">
      <c r="A134" s="25"/>
      <c r="B134" s="25"/>
      <c r="C134" s="25"/>
      <c r="D134" s="25"/>
      <c r="E134" s="25"/>
      <c r="F134" s="25"/>
      <c r="G134" s="25"/>
      <c r="H134" s="26"/>
      <c r="I134" s="26"/>
      <c r="J134" s="25"/>
      <c r="K134" s="27" t="str">
        <f aca="false">IF($A134="","",COUNTIF(Tasks!$B$5:$B$504,$A134))</f>
        <v/>
      </c>
      <c r="L134" s="27" t="str">
        <f aca="false">IF($A134="","",COUNTIFS(Tasks!$B$5:$B$504,$A134,Tasks!$H$5:$H$504,"Done"))</f>
        <v/>
      </c>
      <c r="M134" s="27" t="str">
        <f aca="false">IF($A134="","",K134-L134-COUNTIFS(Tasks!$B$5:$B$504,$A134,Tasks!$H$5:$H$504,"Cancelled"))</f>
        <v/>
      </c>
      <c r="N134" s="27" t="str">
        <f aca="false">IF($A134="","",COUNTIFS(Tasks!$B$5:$B$504,$A134,Tasks!$M$5:$M$504,"OVERDUE"))</f>
        <v/>
      </c>
      <c r="O134" s="28" t="str">
        <f aca="false">IF(OR($A134="",K134=0),"",L134/(K134-COUNTIFS(Tasks!$B$5:$B$504,$A134,Tasks!$H$5:$H$504,"Cancelled")))</f>
        <v/>
      </c>
      <c r="P134" s="25"/>
      <c r="Q134" s="25"/>
    </row>
    <row r="135" customFormat="false" ht="15" hidden="false" customHeight="false" outlineLevel="0" collapsed="false">
      <c r="A135" s="25"/>
      <c r="B135" s="25"/>
      <c r="C135" s="25"/>
      <c r="D135" s="25"/>
      <c r="E135" s="25"/>
      <c r="F135" s="25"/>
      <c r="G135" s="25"/>
      <c r="H135" s="26"/>
      <c r="I135" s="26"/>
      <c r="J135" s="25"/>
      <c r="K135" s="27" t="str">
        <f aca="false">IF($A135="","",COUNTIF(Tasks!$B$5:$B$504,$A135))</f>
        <v/>
      </c>
      <c r="L135" s="27" t="str">
        <f aca="false">IF($A135="","",COUNTIFS(Tasks!$B$5:$B$504,$A135,Tasks!$H$5:$H$504,"Done"))</f>
        <v/>
      </c>
      <c r="M135" s="27" t="str">
        <f aca="false">IF($A135="","",K135-L135-COUNTIFS(Tasks!$B$5:$B$504,$A135,Tasks!$H$5:$H$504,"Cancelled"))</f>
        <v/>
      </c>
      <c r="N135" s="27" t="str">
        <f aca="false">IF($A135="","",COUNTIFS(Tasks!$B$5:$B$504,$A135,Tasks!$M$5:$M$504,"OVERDUE"))</f>
        <v/>
      </c>
      <c r="O135" s="28" t="str">
        <f aca="false">IF(OR($A135="",K135=0),"",L135/(K135-COUNTIFS(Tasks!$B$5:$B$504,$A135,Tasks!$H$5:$H$504,"Cancelled")))</f>
        <v/>
      </c>
      <c r="P135" s="25"/>
      <c r="Q135" s="25"/>
    </row>
    <row r="136" customFormat="false" ht="15" hidden="false" customHeight="false" outlineLevel="0" collapsed="false">
      <c r="A136" s="25"/>
      <c r="B136" s="25"/>
      <c r="C136" s="25"/>
      <c r="D136" s="25"/>
      <c r="E136" s="25"/>
      <c r="F136" s="25"/>
      <c r="G136" s="25"/>
      <c r="H136" s="26"/>
      <c r="I136" s="26"/>
      <c r="J136" s="25"/>
      <c r="K136" s="27" t="str">
        <f aca="false">IF($A136="","",COUNTIF(Tasks!$B$5:$B$504,$A136))</f>
        <v/>
      </c>
      <c r="L136" s="27" t="str">
        <f aca="false">IF($A136="","",COUNTIFS(Tasks!$B$5:$B$504,$A136,Tasks!$H$5:$H$504,"Done"))</f>
        <v/>
      </c>
      <c r="M136" s="27" t="str">
        <f aca="false">IF($A136="","",K136-L136-COUNTIFS(Tasks!$B$5:$B$504,$A136,Tasks!$H$5:$H$504,"Cancelled"))</f>
        <v/>
      </c>
      <c r="N136" s="27" t="str">
        <f aca="false">IF($A136="","",COUNTIFS(Tasks!$B$5:$B$504,$A136,Tasks!$M$5:$M$504,"OVERDUE"))</f>
        <v/>
      </c>
      <c r="O136" s="28" t="str">
        <f aca="false">IF(OR($A136="",K136=0),"",L136/(K136-COUNTIFS(Tasks!$B$5:$B$504,$A136,Tasks!$H$5:$H$504,"Cancelled")))</f>
        <v/>
      </c>
      <c r="P136" s="25"/>
      <c r="Q136" s="25"/>
    </row>
    <row r="137" customFormat="false" ht="15" hidden="false" customHeight="false" outlineLevel="0" collapsed="false">
      <c r="A137" s="25"/>
      <c r="B137" s="25"/>
      <c r="C137" s="25"/>
      <c r="D137" s="25"/>
      <c r="E137" s="25"/>
      <c r="F137" s="25"/>
      <c r="G137" s="25"/>
      <c r="H137" s="26"/>
      <c r="I137" s="26"/>
      <c r="J137" s="25"/>
      <c r="K137" s="27" t="str">
        <f aca="false">IF($A137="","",COUNTIF(Tasks!$B$5:$B$504,$A137))</f>
        <v/>
      </c>
      <c r="L137" s="27" t="str">
        <f aca="false">IF($A137="","",COUNTIFS(Tasks!$B$5:$B$504,$A137,Tasks!$H$5:$H$504,"Done"))</f>
        <v/>
      </c>
      <c r="M137" s="27" t="str">
        <f aca="false">IF($A137="","",K137-L137-COUNTIFS(Tasks!$B$5:$B$504,$A137,Tasks!$H$5:$H$504,"Cancelled"))</f>
        <v/>
      </c>
      <c r="N137" s="27" t="str">
        <f aca="false">IF($A137="","",COUNTIFS(Tasks!$B$5:$B$504,$A137,Tasks!$M$5:$M$504,"OVERDUE"))</f>
        <v/>
      </c>
      <c r="O137" s="28" t="str">
        <f aca="false">IF(OR($A137="",K137=0),"",L137/(K137-COUNTIFS(Tasks!$B$5:$B$504,$A137,Tasks!$H$5:$H$504,"Cancelled")))</f>
        <v/>
      </c>
      <c r="P137" s="25"/>
      <c r="Q137" s="25"/>
    </row>
    <row r="138" customFormat="false" ht="15" hidden="false" customHeight="false" outlineLevel="0" collapsed="false">
      <c r="A138" s="25"/>
      <c r="B138" s="25"/>
      <c r="C138" s="25"/>
      <c r="D138" s="25"/>
      <c r="E138" s="25"/>
      <c r="F138" s="25"/>
      <c r="G138" s="25"/>
      <c r="H138" s="26"/>
      <c r="I138" s="26"/>
      <c r="J138" s="25"/>
      <c r="K138" s="27" t="str">
        <f aca="false">IF($A138="","",COUNTIF(Tasks!$B$5:$B$504,$A138))</f>
        <v/>
      </c>
      <c r="L138" s="27" t="str">
        <f aca="false">IF($A138="","",COUNTIFS(Tasks!$B$5:$B$504,$A138,Tasks!$H$5:$H$504,"Done"))</f>
        <v/>
      </c>
      <c r="M138" s="27" t="str">
        <f aca="false">IF($A138="","",K138-L138-COUNTIFS(Tasks!$B$5:$B$504,$A138,Tasks!$H$5:$H$504,"Cancelled"))</f>
        <v/>
      </c>
      <c r="N138" s="27" t="str">
        <f aca="false">IF($A138="","",COUNTIFS(Tasks!$B$5:$B$504,$A138,Tasks!$M$5:$M$504,"OVERDUE"))</f>
        <v/>
      </c>
      <c r="O138" s="28" t="str">
        <f aca="false">IF(OR($A138="",K138=0),"",L138/(K138-COUNTIFS(Tasks!$B$5:$B$504,$A138,Tasks!$H$5:$H$504,"Cancelled")))</f>
        <v/>
      </c>
      <c r="P138" s="25"/>
      <c r="Q138" s="25"/>
    </row>
    <row r="139" customFormat="false" ht="15" hidden="false" customHeight="false" outlineLevel="0" collapsed="false">
      <c r="A139" s="25"/>
      <c r="B139" s="25"/>
      <c r="C139" s="25"/>
      <c r="D139" s="25"/>
      <c r="E139" s="25"/>
      <c r="F139" s="25"/>
      <c r="G139" s="25"/>
      <c r="H139" s="26"/>
      <c r="I139" s="26"/>
      <c r="J139" s="25"/>
      <c r="K139" s="27" t="str">
        <f aca="false">IF($A139="","",COUNTIF(Tasks!$B$5:$B$504,$A139))</f>
        <v/>
      </c>
      <c r="L139" s="27" t="str">
        <f aca="false">IF($A139="","",COUNTIFS(Tasks!$B$5:$B$504,$A139,Tasks!$H$5:$H$504,"Done"))</f>
        <v/>
      </c>
      <c r="M139" s="27" t="str">
        <f aca="false">IF($A139="","",K139-L139-COUNTIFS(Tasks!$B$5:$B$504,$A139,Tasks!$H$5:$H$504,"Cancelled"))</f>
        <v/>
      </c>
      <c r="N139" s="27" t="str">
        <f aca="false">IF($A139="","",COUNTIFS(Tasks!$B$5:$B$504,$A139,Tasks!$M$5:$M$504,"OVERDUE"))</f>
        <v/>
      </c>
      <c r="O139" s="28" t="str">
        <f aca="false">IF(OR($A139="",K139=0),"",L139/(K139-COUNTIFS(Tasks!$B$5:$B$504,$A139,Tasks!$H$5:$H$504,"Cancelled")))</f>
        <v/>
      </c>
      <c r="P139" s="25"/>
      <c r="Q139" s="25"/>
    </row>
    <row r="140" customFormat="false" ht="15" hidden="false" customHeight="false" outlineLevel="0" collapsed="false">
      <c r="A140" s="25"/>
      <c r="B140" s="25"/>
      <c r="C140" s="25"/>
      <c r="D140" s="25"/>
      <c r="E140" s="25"/>
      <c r="F140" s="25"/>
      <c r="G140" s="25"/>
      <c r="H140" s="26"/>
      <c r="I140" s="26"/>
      <c r="J140" s="25"/>
      <c r="K140" s="27" t="str">
        <f aca="false">IF($A140="","",COUNTIF(Tasks!$B$5:$B$504,$A140))</f>
        <v/>
      </c>
      <c r="L140" s="27" t="str">
        <f aca="false">IF($A140="","",COUNTIFS(Tasks!$B$5:$B$504,$A140,Tasks!$H$5:$H$504,"Done"))</f>
        <v/>
      </c>
      <c r="M140" s="27" t="str">
        <f aca="false">IF($A140="","",K140-L140-COUNTIFS(Tasks!$B$5:$B$504,$A140,Tasks!$H$5:$H$504,"Cancelled"))</f>
        <v/>
      </c>
      <c r="N140" s="27" t="str">
        <f aca="false">IF($A140="","",COUNTIFS(Tasks!$B$5:$B$504,$A140,Tasks!$M$5:$M$504,"OVERDUE"))</f>
        <v/>
      </c>
      <c r="O140" s="28" t="str">
        <f aca="false">IF(OR($A140="",K140=0),"",L140/(K140-COUNTIFS(Tasks!$B$5:$B$504,$A140,Tasks!$H$5:$H$504,"Cancelled")))</f>
        <v/>
      </c>
      <c r="P140" s="25"/>
      <c r="Q140" s="25"/>
    </row>
    <row r="141" customFormat="false" ht="15" hidden="false" customHeight="false" outlineLevel="0" collapsed="false">
      <c r="A141" s="25"/>
      <c r="B141" s="25"/>
      <c r="C141" s="25"/>
      <c r="D141" s="25"/>
      <c r="E141" s="25"/>
      <c r="F141" s="25"/>
      <c r="G141" s="25"/>
      <c r="H141" s="26"/>
      <c r="I141" s="26"/>
      <c r="J141" s="25"/>
      <c r="K141" s="27" t="str">
        <f aca="false">IF($A141="","",COUNTIF(Tasks!$B$5:$B$504,$A141))</f>
        <v/>
      </c>
      <c r="L141" s="27" t="str">
        <f aca="false">IF($A141="","",COUNTIFS(Tasks!$B$5:$B$504,$A141,Tasks!$H$5:$H$504,"Done"))</f>
        <v/>
      </c>
      <c r="M141" s="27" t="str">
        <f aca="false">IF($A141="","",K141-L141-COUNTIFS(Tasks!$B$5:$B$504,$A141,Tasks!$H$5:$H$504,"Cancelled"))</f>
        <v/>
      </c>
      <c r="N141" s="27" t="str">
        <f aca="false">IF($A141="","",COUNTIFS(Tasks!$B$5:$B$504,$A141,Tasks!$M$5:$M$504,"OVERDUE"))</f>
        <v/>
      </c>
      <c r="O141" s="28" t="str">
        <f aca="false">IF(OR($A141="",K141=0),"",L141/(K141-COUNTIFS(Tasks!$B$5:$B$504,$A141,Tasks!$H$5:$H$504,"Cancelled")))</f>
        <v/>
      </c>
      <c r="P141" s="25"/>
      <c r="Q141" s="25"/>
    </row>
    <row r="142" customFormat="false" ht="15" hidden="false" customHeight="false" outlineLevel="0" collapsed="false">
      <c r="A142" s="25"/>
      <c r="B142" s="25"/>
      <c r="C142" s="25"/>
      <c r="D142" s="25"/>
      <c r="E142" s="25"/>
      <c r="F142" s="25"/>
      <c r="G142" s="25"/>
      <c r="H142" s="26"/>
      <c r="I142" s="26"/>
      <c r="J142" s="25"/>
      <c r="K142" s="27" t="str">
        <f aca="false">IF($A142="","",COUNTIF(Tasks!$B$5:$B$504,$A142))</f>
        <v/>
      </c>
      <c r="L142" s="27" t="str">
        <f aca="false">IF($A142="","",COUNTIFS(Tasks!$B$5:$B$504,$A142,Tasks!$H$5:$H$504,"Done"))</f>
        <v/>
      </c>
      <c r="M142" s="27" t="str">
        <f aca="false">IF($A142="","",K142-L142-COUNTIFS(Tasks!$B$5:$B$504,$A142,Tasks!$H$5:$H$504,"Cancelled"))</f>
        <v/>
      </c>
      <c r="N142" s="27" t="str">
        <f aca="false">IF($A142="","",COUNTIFS(Tasks!$B$5:$B$504,$A142,Tasks!$M$5:$M$504,"OVERDUE"))</f>
        <v/>
      </c>
      <c r="O142" s="28" t="str">
        <f aca="false">IF(OR($A142="",K142=0),"",L142/(K142-COUNTIFS(Tasks!$B$5:$B$504,$A142,Tasks!$H$5:$H$504,"Cancelled")))</f>
        <v/>
      </c>
      <c r="P142" s="25"/>
      <c r="Q142" s="25"/>
    </row>
    <row r="143" customFormat="false" ht="15" hidden="false" customHeight="false" outlineLevel="0" collapsed="false">
      <c r="A143" s="25"/>
      <c r="B143" s="25"/>
      <c r="C143" s="25"/>
      <c r="D143" s="25"/>
      <c r="E143" s="25"/>
      <c r="F143" s="25"/>
      <c r="G143" s="25"/>
      <c r="H143" s="26"/>
      <c r="I143" s="26"/>
      <c r="J143" s="25"/>
      <c r="K143" s="27" t="str">
        <f aca="false">IF($A143="","",COUNTIF(Tasks!$B$5:$B$504,$A143))</f>
        <v/>
      </c>
      <c r="L143" s="27" t="str">
        <f aca="false">IF($A143="","",COUNTIFS(Tasks!$B$5:$B$504,$A143,Tasks!$H$5:$H$504,"Done"))</f>
        <v/>
      </c>
      <c r="M143" s="27" t="str">
        <f aca="false">IF($A143="","",K143-L143-COUNTIFS(Tasks!$B$5:$B$504,$A143,Tasks!$H$5:$H$504,"Cancelled"))</f>
        <v/>
      </c>
      <c r="N143" s="27" t="str">
        <f aca="false">IF($A143="","",COUNTIFS(Tasks!$B$5:$B$504,$A143,Tasks!$M$5:$M$504,"OVERDUE"))</f>
        <v/>
      </c>
      <c r="O143" s="28" t="str">
        <f aca="false">IF(OR($A143="",K143=0),"",L143/(K143-COUNTIFS(Tasks!$B$5:$B$504,$A143,Tasks!$H$5:$H$504,"Cancelled")))</f>
        <v/>
      </c>
      <c r="P143" s="25"/>
      <c r="Q143" s="25"/>
    </row>
    <row r="144" customFormat="false" ht="15" hidden="false" customHeight="false" outlineLevel="0" collapsed="false">
      <c r="A144" s="25"/>
      <c r="B144" s="25"/>
      <c r="C144" s="25"/>
      <c r="D144" s="25"/>
      <c r="E144" s="25"/>
      <c r="F144" s="25"/>
      <c r="G144" s="25"/>
      <c r="H144" s="26"/>
      <c r="I144" s="26"/>
      <c r="J144" s="25"/>
      <c r="K144" s="27" t="str">
        <f aca="false">IF($A144="","",COUNTIF(Tasks!$B$5:$B$504,$A144))</f>
        <v/>
      </c>
      <c r="L144" s="27" t="str">
        <f aca="false">IF($A144="","",COUNTIFS(Tasks!$B$5:$B$504,$A144,Tasks!$H$5:$H$504,"Done"))</f>
        <v/>
      </c>
      <c r="M144" s="27" t="str">
        <f aca="false">IF($A144="","",K144-L144-COUNTIFS(Tasks!$B$5:$B$504,$A144,Tasks!$H$5:$H$504,"Cancelled"))</f>
        <v/>
      </c>
      <c r="N144" s="27" t="str">
        <f aca="false">IF($A144="","",COUNTIFS(Tasks!$B$5:$B$504,$A144,Tasks!$M$5:$M$504,"OVERDUE"))</f>
        <v/>
      </c>
      <c r="O144" s="28" t="str">
        <f aca="false">IF(OR($A144="",K144=0),"",L144/(K144-COUNTIFS(Tasks!$B$5:$B$504,$A144,Tasks!$H$5:$H$504,"Cancelled")))</f>
        <v/>
      </c>
      <c r="P144" s="25"/>
      <c r="Q144" s="25"/>
    </row>
    <row r="145" customFormat="false" ht="15" hidden="false" customHeight="false" outlineLevel="0" collapsed="false">
      <c r="A145" s="25"/>
      <c r="B145" s="25"/>
      <c r="C145" s="25"/>
      <c r="D145" s="25"/>
      <c r="E145" s="25"/>
      <c r="F145" s="25"/>
      <c r="G145" s="25"/>
      <c r="H145" s="26"/>
      <c r="I145" s="26"/>
      <c r="J145" s="25"/>
      <c r="K145" s="27" t="str">
        <f aca="false">IF($A145="","",COUNTIF(Tasks!$B$5:$B$504,$A145))</f>
        <v/>
      </c>
      <c r="L145" s="27" t="str">
        <f aca="false">IF($A145="","",COUNTIFS(Tasks!$B$5:$B$504,$A145,Tasks!$H$5:$H$504,"Done"))</f>
        <v/>
      </c>
      <c r="M145" s="27" t="str">
        <f aca="false">IF($A145="","",K145-L145-COUNTIFS(Tasks!$B$5:$B$504,$A145,Tasks!$H$5:$H$504,"Cancelled"))</f>
        <v/>
      </c>
      <c r="N145" s="27" t="str">
        <f aca="false">IF($A145="","",COUNTIFS(Tasks!$B$5:$B$504,$A145,Tasks!$M$5:$M$504,"OVERDUE"))</f>
        <v/>
      </c>
      <c r="O145" s="28" t="str">
        <f aca="false">IF(OR($A145="",K145=0),"",L145/(K145-COUNTIFS(Tasks!$B$5:$B$504,$A145,Tasks!$H$5:$H$504,"Cancelled")))</f>
        <v/>
      </c>
      <c r="P145" s="25"/>
      <c r="Q145" s="25"/>
    </row>
    <row r="146" customFormat="false" ht="15" hidden="false" customHeight="false" outlineLevel="0" collapsed="false">
      <c r="A146" s="25"/>
      <c r="B146" s="25"/>
      <c r="C146" s="25"/>
      <c r="D146" s="25"/>
      <c r="E146" s="25"/>
      <c r="F146" s="25"/>
      <c r="G146" s="25"/>
      <c r="H146" s="26"/>
      <c r="I146" s="26"/>
      <c r="J146" s="25"/>
      <c r="K146" s="27" t="str">
        <f aca="false">IF($A146="","",COUNTIF(Tasks!$B$5:$B$504,$A146))</f>
        <v/>
      </c>
      <c r="L146" s="27" t="str">
        <f aca="false">IF($A146="","",COUNTIFS(Tasks!$B$5:$B$504,$A146,Tasks!$H$5:$H$504,"Done"))</f>
        <v/>
      </c>
      <c r="M146" s="27" t="str">
        <f aca="false">IF($A146="","",K146-L146-COUNTIFS(Tasks!$B$5:$B$504,$A146,Tasks!$H$5:$H$504,"Cancelled"))</f>
        <v/>
      </c>
      <c r="N146" s="27" t="str">
        <f aca="false">IF($A146="","",COUNTIFS(Tasks!$B$5:$B$504,$A146,Tasks!$M$5:$M$504,"OVERDUE"))</f>
        <v/>
      </c>
      <c r="O146" s="28" t="str">
        <f aca="false">IF(OR($A146="",K146=0),"",L146/(K146-COUNTIFS(Tasks!$B$5:$B$504,$A146,Tasks!$H$5:$H$504,"Cancelled")))</f>
        <v/>
      </c>
      <c r="P146" s="25"/>
      <c r="Q146" s="25"/>
    </row>
    <row r="147" customFormat="false" ht="15" hidden="false" customHeight="false" outlineLevel="0" collapsed="false">
      <c r="A147" s="25"/>
      <c r="B147" s="25"/>
      <c r="C147" s="25"/>
      <c r="D147" s="25"/>
      <c r="E147" s="25"/>
      <c r="F147" s="25"/>
      <c r="G147" s="25"/>
      <c r="H147" s="26"/>
      <c r="I147" s="26"/>
      <c r="J147" s="25"/>
      <c r="K147" s="27" t="str">
        <f aca="false">IF($A147="","",COUNTIF(Tasks!$B$5:$B$504,$A147))</f>
        <v/>
      </c>
      <c r="L147" s="27" t="str">
        <f aca="false">IF($A147="","",COUNTIFS(Tasks!$B$5:$B$504,$A147,Tasks!$H$5:$H$504,"Done"))</f>
        <v/>
      </c>
      <c r="M147" s="27" t="str">
        <f aca="false">IF($A147="","",K147-L147-COUNTIFS(Tasks!$B$5:$B$504,$A147,Tasks!$H$5:$H$504,"Cancelled"))</f>
        <v/>
      </c>
      <c r="N147" s="27" t="str">
        <f aca="false">IF($A147="","",COUNTIFS(Tasks!$B$5:$B$504,$A147,Tasks!$M$5:$M$504,"OVERDUE"))</f>
        <v/>
      </c>
      <c r="O147" s="28" t="str">
        <f aca="false">IF(OR($A147="",K147=0),"",L147/(K147-COUNTIFS(Tasks!$B$5:$B$504,$A147,Tasks!$H$5:$H$504,"Cancelled")))</f>
        <v/>
      </c>
      <c r="P147" s="25"/>
      <c r="Q147" s="25"/>
    </row>
    <row r="148" customFormat="false" ht="15" hidden="false" customHeight="false" outlineLevel="0" collapsed="false">
      <c r="A148" s="25"/>
      <c r="B148" s="25"/>
      <c r="C148" s="25"/>
      <c r="D148" s="25"/>
      <c r="E148" s="25"/>
      <c r="F148" s="25"/>
      <c r="G148" s="25"/>
      <c r="H148" s="26"/>
      <c r="I148" s="26"/>
      <c r="J148" s="25"/>
      <c r="K148" s="27" t="str">
        <f aca="false">IF($A148="","",COUNTIF(Tasks!$B$5:$B$504,$A148))</f>
        <v/>
      </c>
      <c r="L148" s="27" t="str">
        <f aca="false">IF($A148="","",COUNTIFS(Tasks!$B$5:$B$504,$A148,Tasks!$H$5:$H$504,"Done"))</f>
        <v/>
      </c>
      <c r="M148" s="27" t="str">
        <f aca="false">IF($A148="","",K148-L148-COUNTIFS(Tasks!$B$5:$B$504,$A148,Tasks!$H$5:$H$504,"Cancelled"))</f>
        <v/>
      </c>
      <c r="N148" s="27" t="str">
        <f aca="false">IF($A148="","",COUNTIFS(Tasks!$B$5:$B$504,$A148,Tasks!$M$5:$M$504,"OVERDUE"))</f>
        <v/>
      </c>
      <c r="O148" s="28" t="str">
        <f aca="false">IF(OR($A148="",K148=0),"",L148/(K148-COUNTIFS(Tasks!$B$5:$B$504,$A148,Tasks!$H$5:$H$504,"Cancelled")))</f>
        <v/>
      </c>
      <c r="P148" s="25"/>
      <c r="Q148" s="25"/>
    </row>
    <row r="149" customFormat="false" ht="15" hidden="false" customHeight="false" outlineLevel="0" collapsed="false">
      <c r="A149" s="25"/>
      <c r="B149" s="25"/>
      <c r="C149" s="25"/>
      <c r="D149" s="25"/>
      <c r="E149" s="25"/>
      <c r="F149" s="25"/>
      <c r="G149" s="25"/>
      <c r="H149" s="26"/>
      <c r="I149" s="26"/>
      <c r="J149" s="25"/>
      <c r="K149" s="27" t="str">
        <f aca="false">IF($A149="","",COUNTIF(Tasks!$B$5:$B$504,$A149))</f>
        <v/>
      </c>
      <c r="L149" s="27" t="str">
        <f aca="false">IF($A149="","",COUNTIFS(Tasks!$B$5:$B$504,$A149,Tasks!$H$5:$H$504,"Done"))</f>
        <v/>
      </c>
      <c r="M149" s="27" t="str">
        <f aca="false">IF($A149="","",K149-L149-COUNTIFS(Tasks!$B$5:$B$504,$A149,Tasks!$H$5:$H$504,"Cancelled"))</f>
        <v/>
      </c>
      <c r="N149" s="27" t="str">
        <f aca="false">IF($A149="","",COUNTIFS(Tasks!$B$5:$B$504,$A149,Tasks!$M$5:$M$504,"OVERDUE"))</f>
        <v/>
      </c>
      <c r="O149" s="28" t="str">
        <f aca="false">IF(OR($A149="",K149=0),"",L149/(K149-COUNTIFS(Tasks!$B$5:$B$504,$A149,Tasks!$H$5:$H$504,"Cancelled")))</f>
        <v/>
      </c>
      <c r="P149" s="25"/>
      <c r="Q149" s="25"/>
    </row>
    <row r="150" customFormat="false" ht="15" hidden="false" customHeight="false" outlineLevel="0" collapsed="false">
      <c r="A150" s="25"/>
      <c r="B150" s="25"/>
      <c r="C150" s="25"/>
      <c r="D150" s="25"/>
      <c r="E150" s="25"/>
      <c r="F150" s="25"/>
      <c r="G150" s="25"/>
      <c r="H150" s="26"/>
      <c r="I150" s="26"/>
      <c r="J150" s="25"/>
      <c r="K150" s="27" t="str">
        <f aca="false">IF($A150="","",COUNTIF(Tasks!$B$5:$B$504,$A150))</f>
        <v/>
      </c>
      <c r="L150" s="27" t="str">
        <f aca="false">IF($A150="","",COUNTIFS(Tasks!$B$5:$B$504,$A150,Tasks!$H$5:$H$504,"Done"))</f>
        <v/>
      </c>
      <c r="M150" s="27" t="str">
        <f aca="false">IF($A150="","",K150-L150-COUNTIFS(Tasks!$B$5:$B$504,$A150,Tasks!$H$5:$H$504,"Cancelled"))</f>
        <v/>
      </c>
      <c r="N150" s="27" t="str">
        <f aca="false">IF($A150="","",COUNTIFS(Tasks!$B$5:$B$504,$A150,Tasks!$M$5:$M$504,"OVERDUE"))</f>
        <v/>
      </c>
      <c r="O150" s="28" t="str">
        <f aca="false">IF(OR($A150="",K150=0),"",L150/(K150-COUNTIFS(Tasks!$B$5:$B$504,$A150,Tasks!$H$5:$H$504,"Cancelled")))</f>
        <v/>
      </c>
      <c r="P150" s="25"/>
      <c r="Q150" s="25"/>
    </row>
    <row r="151" customFormat="false" ht="15" hidden="false" customHeight="false" outlineLevel="0" collapsed="false">
      <c r="A151" s="25"/>
      <c r="B151" s="25"/>
      <c r="C151" s="25"/>
      <c r="D151" s="25"/>
      <c r="E151" s="25"/>
      <c r="F151" s="25"/>
      <c r="G151" s="25"/>
      <c r="H151" s="26"/>
      <c r="I151" s="26"/>
      <c r="J151" s="25"/>
      <c r="K151" s="27" t="str">
        <f aca="false">IF($A151="","",COUNTIF(Tasks!$B$5:$B$504,$A151))</f>
        <v/>
      </c>
      <c r="L151" s="27" t="str">
        <f aca="false">IF($A151="","",COUNTIFS(Tasks!$B$5:$B$504,$A151,Tasks!$H$5:$H$504,"Done"))</f>
        <v/>
      </c>
      <c r="M151" s="27" t="str">
        <f aca="false">IF($A151="","",K151-L151-COUNTIFS(Tasks!$B$5:$B$504,$A151,Tasks!$H$5:$H$504,"Cancelled"))</f>
        <v/>
      </c>
      <c r="N151" s="27" t="str">
        <f aca="false">IF($A151="","",COUNTIFS(Tasks!$B$5:$B$504,$A151,Tasks!$M$5:$M$504,"OVERDUE"))</f>
        <v/>
      </c>
      <c r="O151" s="28" t="str">
        <f aca="false">IF(OR($A151="",K151=0),"",L151/(K151-COUNTIFS(Tasks!$B$5:$B$504,$A151,Tasks!$H$5:$H$504,"Cancelled")))</f>
        <v/>
      </c>
      <c r="P151" s="25"/>
      <c r="Q151" s="25"/>
    </row>
    <row r="152" customFormat="false" ht="15" hidden="false" customHeight="false" outlineLevel="0" collapsed="false">
      <c r="A152" s="25"/>
      <c r="B152" s="25"/>
      <c r="C152" s="25"/>
      <c r="D152" s="25"/>
      <c r="E152" s="25"/>
      <c r="F152" s="25"/>
      <c r="G152" s="25"/>
      <c r="H152" s="26"/>
      <c r="I152" s="26"/>
      <c r="J152" s="25"/>
      <c r="K152" s="27" t="str">
        <f aca="false">IF($A152="","",COUNTIF(Tasks!$B$5:$B$504,$A152))</f>
        <v/>
      </c>
      <c r="L152" s="27" t="str">
        <f aca="false">IF($A152="","",COUNTIFS(Tasks!$B$5:$B$504,$A152,Tasks!$H$5:$H$504,"Done"))</f>
        <v/>
      </c>
      <c r="M152" s="27" t="str">
        <f aca="false">IF($A152="","",K152-L152-COUNTIFS(Tasks!$B$5:$B$504,$A152,Tasks!$H$5:$H$504,"Cancelled"))</f>
        <v/>
      </c>
      <c r="N152" s="27" t="str">
        <f aca="false">IF($A152="","",COUNTIFS(Tasks!$B$5:$B$504,$A152,Tasks!$M$5:$M$504,"OVERDUE"))</f>
        <v/>
      </c>
      <c r="O152" s="28" t="str">
        <f aca="false">IF(OR($A152="",K152=0),"",L152/(K152-COUNTIFS(Tasks!$B$5:$B$504,$A152,Tasks!$H$5:$H$504,"Cancelled")))</f>
        <v/>
      </c>
      <c r="P152" s="25"/>
      <c r="Q152" s="25"/>
    </row>
    <row r="153" customFormat="false" ht="15" hidden="false" customHeight="false" outlineLevel="0" collapsed="false">
      <c r="A153" s="25"/>
      <c r="B153" s="25"/>
      <c r="C153" s="25"/>
      <c r="D153" s="25"/>
      <c r="E153" s="25"/>
      <c r="F153" s="25"/>
      <c r="G153" s="25"/>
      <c r="H153" s="26"/>
      <c r="I153" s="26"/>
      <c r="J153" s="25"/>
      <c r="K153" s="27" t="str">
        <f aca="false">IF($A153="","",COUNTIF(Tasks!$B$5:$B$504,$A153))</f>
        <v/>
      </c>
      <c r="L153" s="27" t="str">
        <f aca="false">IF($A153="","",COUNTIFS(Tasks!$B$5:$B$504,$A153,Tasks!$H$5:$H$504,"Done"))</f>
        <v/>
      </c>
      <c r="M153" s="27" t="str">
        <f aca="false">IF($A153="","",K153-L153-COUNTIFS(Tasks!$B$5:$B$504,$A153,Tasks!$H$5:$H$504,"Cancelled"))</f>
        <v/>
      </c>
      <c r="N153" s="27" t="str">
        <f aca="false">IF($A153="","",COUNTIFS(Tasks!$B$5:$B$504,$A153,Tasks!$M$5:$M$504,"OVERDUE"))</f>
        <v/>
      </c>
      <c r="O153" s="28" t="str">
        <f aca="false">IF(OR($A153="",K153=0),"",L153/(K153-COUNTIFS(Tasks!$B$5:$B$504,$A153,Tasks!$H$5:$H$504,"Cancelled")))</f>
        <v/>
      </c>
      <c r="P153" s="25"/>
      <c r="Q153" s="25"/>
    </row>
    <row r="154" customFormat="false" ht="15" hidden="false" customHeight="false" outlineLevel="0" collapsed="false">
      <c r="A154" s="25"/>
      <c r="B154" s="25"/>
      <c r="C154" s="25"/>
      <c r="D154" s="25"/>
      <c r="E154" s="25"/>
      <c r="F154" s="25"/>
      <c r="G154" s="25"/>
      <c r="H154" s="26"/>
      <c r="I154" s="26"/>
      <c r="J154" s="25"/>
      <c r="K154" s="27" t="str">
        <f aca="false">IF($A154="","",COUNTIF(Tasks!$B$5:$B$504,$A154))</f>
        <v/>
      </c>
      <c r="L154" s="27" t="str">
        <f aca="false">IF($A154="","",COUNTIFS(Tasks!$B$5:$B$504,$A154,Tasks!$H$5:$H$504,"Done"))</f>
        <v/>
      </c>
      <c r="M154" s="27" t="str">
        <f aca="false">IF($A154="","",K154-L154-COUNTIFS(Tasks!$B$5:$B$504,$A154,Tasks!$H$5:$H$504,"Cancelled"))</f>
        <v/>
      </c>
      <c r="N154" s="27" t="str">
        <f aca="false">IF($A154="","",COUNTIFS(Tasks!$B$5:$B$504,$A154,Tasks!$M$5:$M$504,"OVERDUE"))</f>
        <v/>
      </c>
      <c r="O154" s="28" t="str">
        <f aca="false">IF(OR($A154="",K154=0),"",L154/(K154-COUNTIFS(Tasks!$B$5:$B$504,$A154,Tasks!$H$5:$H$504,"Cancelled")))</f>
        <v/>
      </c>
      <c r="P154" s="25"/>
      <c r="Q154" s="25"/>
    </row>
    <row r="155" customFormat="false" ht="15" hidden="false" customHeight="false" outlineLevel="0" collapsed="false">
      <c r="A155" s="25"/>
      <c r="B155" s="25"/>
      <c r="C155" s="25"/>
      <c r="D155" s="25"/>
      <c r="E155" s="25"/>
      <c r="F155" s="25"/>
      <c r="G155" s="25"/>
      <c r="H155" s="26"/>
      <c r="I155" s="26"/>
      <c r="J155" s="25"/>
      <c r="K155" s="27" t="str">
        <f aca="false">IF($A155="","",COUNTIF(Tasks!$B$5:$B$504,$A155))</f>
        <v/>
      </c>
      <c r="L155" s="27" t="str">
        <f aca="false">IF($A155="","",COUNTIFS(Tasks!$B$5:$B$504,$A155,Tasks!$H$5:$H$504,"Done"))</f>
        <v/>
      </c>
      <c r="M155" s="27" t="str">
        <f aca="false">IF($A155="","",K155-L155-COUNTIFS(Tasks!$B$5:$B$504,$A155,Tasks!$H$5:$H$504,"Cancelled"))</f>
        <v/>
      </c>
      <c r="N155" s="27" t="str">
        <f aca="false">IF($A155="","",COUNTIFS(Tasks!$B$5:$B$504,$A155,Tasks!$M$5:$M$504,"OVERDUE"))</f>
        <v/>
      </c>
      <c r="O155" s="28" t="str">
        <f aca="false">IF(OR($A155="",K155=0),"",L155/(K155-COUNTIFS(Tasks!$B$5:$B$504,$A155,Tasks!$H$5:$H$504,"Cancelled")))</f>
        <v/>
      </c>
      <c r="P155" s="25"/>
      <c r="Q155" s="25"/>
    </row>
    <row r="156" customFormat="false" ht="15" hidden="false" customHeight="false" outlineLevel="0" collapsed="false">
      <c r="A156" s="25"/>
      <c r="B156" s="25"/>
      <c r="C156" s="25"/>
      <c r="D156" s="25"/>
      <c r="E156" s="25"/>
      <c r="F156" s="25"/>
      <c r="G156" s="25"/>
      <c r="H156" s="26"/>
      <c r="I156" s="26"/>
      <c r="J156" s="25"/>
      <c r="K156" s="27" t="str">
        <f aca="false">IF($A156="","",COUNTIF(Tasks!$B$5:$B$504,$A156))</f>
        <v/>
      </c>
      <c r="L156" s="27" t="str">
        <f aca="false">IF($A156="","",COUNTIFS(Tasks!$B$5:$B$504,$A156,Tasks!$H$5:$H$504,"Done"))</f>
        <v/>
      </c>
      <c r="M156" s="27" t="str">
        <f aca="false">IF($A156="","",K156-L156-COUNTIFS(Tasks!$B$5:$B$504,$A156,Tasks!$H$5:$H$504,"Cancelled"))</f>
        <v/>
      </c>
      <c r="N156" s="27" t="str">
        <f aca="false">IF($A156="","",COUNTIFS(Tasks!$B$5:$B$504,$A156,Tasks!$M$5:$M$504,"OVERDUE"))</f>
        <v/>
      </c>
      <c r="O156" s="28" t="str">
        <f aca="false">IF(OR($A156="",K156=0),"",L156/(K156-COUNTIFS(Tasks!$B$5:$B$504,$A156,Tasks!$H$5:$H$504,"Cancelled")))</f>
        <v/>
      </c>
      <c r="P156" s="25"/>
      <c r="Q156" s="25"/>
    </row>
    <row r="157" customFormat="false" ht="15" hidden="false" customHeight="false" outlineLevel="0" collapsed="false">
      <c r="A157" s="25"/>
      <c r="B157" s="25"/>
      <c r="C157" s="25"/>
      <c r="D157" s="25"/>
      <c r="E157" s="25"/>
      <c r="F157" s="25"/>
      <c r="G157" s="25"/>
      <c r="H157" s="26"/>
      <c r="I157" s="26"/>
      <c r="J157" s="25"/>
      <c r="K157" s="27" t="str">
        <f aca="false">IF($A157="","",COUNTIF(Tasks!$B$5:$B$504,$A157))</f>
        <v/>
      </c>
      <c r="L157" s="27" t="str">
        <f aca="false">IF($A157="","",COUNTIFS(Tasks!$B$5:$B$504,$A157,Tasks!$H$5:$H$504,"Done"))</f>
        <v/>
      </c>
      <c r="M157" s="27" t="str">
        <f aca="false">IF($A157="","",K157-L157-COUNTIFS(Tasks!$B$5:$B$504,$A157,Tasks!$H$5:$H$504,"Cancelled"))</f>
        <v/>
      </c>
      <c r="N157" s="27" t="str">
        <f aca="false">IF($A157="","",COUNTIFS(Tasks!$B$5:$B$504,$A157,Tasks!$M$5:$M$504,"OVERDUE"))</f>
        <v/>
      </c>
      <c r="O157" s="28" t="str">
        <f aca="false">IF(OR($A157="",K157=0),"",L157/(K157-COUNTIFS(Tasks!$B$5:$B$504,$A157,Tasks!$H$5:$H$504,"Cancelled")))</f>
        <v/>
      </c>
      <c r="P157" s="25"/>
      <c r="Q157" s="25"/>
    </row>
    <row r="158" customFormat="false" ht="15" hidden="false" customHeight="false" outlineLevel="0" collapsed="false">
      <c r="A158" s="25"/>
      <c r="B158" s="25"/>
      <c r="C158" s="25"/>
      <c r="D158" s="25"/>
      <c r="E158" s="25"/>
      <c r="F158" s="25"/>
      <c r="G158" s="25"/>
      <c r="H158" s="26"/>
      <c r="I158" s="26"/>
      <c r="J158" s="25"/>
      <c r="K158" s="27" t="str">
        <f aca="false">IF($A158="","",COUNTIF(Tasks!$B$5:$B$504,$A158))</f>
        <v/>
      </c>
      <c r="L158" s="27" t="str">
        <f aca="false">IF($A158="","",COUNTIFS(Tasks!$B$5:$B$504,$A158,Tasks!$H$5:$H$504,"Done"))</f>
        <v/>
      </c>
      <c r="M158" s="27" t="str">
        <f aca="false">IF($A158="","",K158-L158-COUNTIFS(Tasks!$B$5:$B$504,$A158,Tasks!$H$5:$H$504,"Cancelled"))</f>
        <v/>
      </c>
      <c r="N158" s="27" t="str">
        <f aca="false">IF($A158="","",COUNTIFS(Tasks!$B$5:$B$504,$A158,Tasks!$M$5:$M$504,"OVERDUE"))</f>
        <v/>
      </c>
      <c r="O158" s="28" t="str">
        <f aca="false">IF(OR($A158="",K158=0),"",L158/(K158-COUNTIFS(Tasks!$B$5:$B$504,$A158,Tasks!$H$5:$H$504,"Cancelled")))</f>
        <v/>
      </c>
      <c r="P158" s="25"/>
      <c r="Q158" s="25"/>
    </row>
    <row r="159" customFormat="false" ht="15" hidden="false" customHeight="false" outlineLevel="0" collapsed="false">
      <c r="A159" s="25"/>
      <c r="B159" s="25"/>
      <c r="C159" s="25"/>
      <c r="D159" s="25"/>
      <c r="E159" s="25"/>
      <c r="F159" s="25"/>
      <c r="G159" s="25"/>
      <c r="H159" s="26"/>
      <c r="I159" s="26"/>
      <c r="J159" s="25"/>
      <c r="K159" s="27" t="str">
        <f aca="false">IF($A159="","",COUNTIF(Tasks!$B$5:$B$504,$A159))</f>
        <v/>
      </c>
      <c r="L159" s="27" t="str">
        <f aca="false">IF($A159="","",COUNTIFS(Tasks!$B$5:$B$504,$A159,Tasks!$H$5:$H$504,"Done"))</f>
        <v/>
      </c>
      <c r="M159" s="27" t="str">
        <f aca="false">IF($A159="","",K159-L159-COUNTIFS(Tasks!$B$5:$B$504,$A159,Tasks!$H$5:$H$504,"Cancelled"))</f>
        <v/>
      </c>
      <c r="N159" s="27" t="str">
        <f aca="false">IF($A159="","",COUNTIFS(Tasks!$B$5:$B$504,$A159,Tasks!$M$5:$M$504,"OVERDUE"))</f>
        <v/>
      </c>
      <c r="O159" s="28" t="str">
        <f aca="false">IF(OR($A159="",K159=0),"",L159/(K159-COUNTIFS(Tasks!$B$5:$B$504,$A159,Tasks!$H$5:$H$504,"Cancelled")))</f>
        <v/>
      </c>
      <c r="P159" s="25"/>
      <c r="Q159" s="25"/>
    </row>
    <row r="160" customFormat="false" ht="15" hidden="false" customHeight="false" outlineLevel="0" collapsed="false">
      <c r="A160" s="25"/>
      <c r="B160" s="25"/>
      <c r="C160" s="25"/>
      <c r="D160" s="25"/>
      <c r="E160" s="25"/>
      <c r="F160" s="25"/>
      <c r="G160" s="25"/>
      <c r="H160" s="26"/>
      <c r="I160" s="26"/>
      <c r="J160" s="25"/>
      <c r="K160" s="27" t="str">
        <f aca="false">IF($A160="","",COUNTIF(Tasks!$B$5:$B$504,$A160))</f>
        <v/>
      </c>
      <c r="L160" s="27" t="str">
        <f aca="false">IF($A160="","",COUNTIFS(Tasks!$B$5:$B$504,$A160,Tasks!$H$5:$H$504,"Done"))</f>
        <v/>
      </c>
      <c r="M160" s="27" t="str">
        <f aca="false">IF($A160="","",K160-L160-COUNTIFS(Tasks!$B$5:$B$504,$A160,Tasks!$H$5:$H$504,"Cancelled"))</f>
        <v/>
      </c>
      <c r="N160" s="27" t="str">
        <f aca="false">IF($A160="","",COUNTIFS(Tasks!$B$5:$B$504,$A160,Tasks!$M$5:$M$504,"OVERDUE"))</f>
        <v/>
      </c>
      <c r="O160" s="28" t="str">
        <f aca="false">IF(OR($A160="",K160=0),"",L160/(K160-COUNTIFS(Tasks!$B$5:$B$504,$A160,Tasks!$H$5:$H$504,"Cancelled")))</f>
        <v/>
      </c>
      <c r="P160" s="25"/>
      <c r="Q160" s="25"/>
    </row>
    <row r="161" customFormat="false" ht="15" hidden="false" customHeight="false" outlineLevel="0" collapsed="false">
      <c r="A161" s="25"/>
      <c r="B161" s="25"/>
      <c r="C161" s="25"/>
      <c r="D161" s="25"/>
      <c r="E161" s="25"/>
      <c r="F161" s="25"/>
      <c r="G161" s="25"/>
      <c r="H161" s="26"/>
      <c r="I161" s="26"/>
      <c r="J161" s="25"/>
      <c r="K161" s="27" t="str">
        <f aca="false">IF($A161="","",COUNTIF(Tasks!$B$5:$B$504,$A161))</f>
        <v/>
      </c>
      <c r="L161" s="27" t="str">
        <f aca="false">IF($A161="","",COUNTIFS(Tasks!$B$5:$B$504,$A161,Tasks!$H$5:$H$504,"Done"))</f>
        <v/>
      </c>
      <c r="M161" s="27" t="str">
        <f aca="false">IF($A161="","",K161-L161-COUNTIFS(Tasks!$B$5:$B$504,$A161,Tasks!$H$5:$H$504,"Cancelled"))</f>
        <v/>
      </c>
      <c r="N161" s="27" t="str">
        <f aca="false">IF($A161="","",COUNTIFS(Tasks!$B$5:$B$504,$A161,Tasks!$M$5:$M$504,"OVERDUE"))</f>
        <v/>
      </c>
      <c r="O161" s="28" t="str">
        <f aca="false">IF(OR($A161="",K161=0),"",L161/(K161-COUNTIFS(Tasks!$B$5:$B$504,$A161,Tasks!$H$5:$H$504,"Cancelled")))</f>
        <v/>
      </c>
      <c r="P161" s="25"/>
      <c r="Q161" s="25"/>
    </row>
    <row r="162" customFormat="false" ht="15" hidden="false" customHeight="false" outlineLevel="0" collapsed="false">
      <c r="A162" s="25"/>
      <c r="B162" s="25"/>
      <c r="C162" s="25"/>
      <c r="D162" s="25"/>
      <c r="E162" s="25"/>
      <c r="F162" s="25"/>
      <c r="G162" s="25"/>
      <c r="H162" s="26"/>
      <c r="I162" s="26"/>
      <c r="J162" s="25"/>
      <c r="K162" s="27" t="str">
        <f aca="false">IF($A162="","",COUNTIF(Tasks!$B$5:$B$504,$A162))</f>
        <v/>
      </c>
      <c r="L162" s="27" t="str">
        <f aca="false">IF($A162="","",COUNTIFS(Tasks!$B$5:$B$504,$A162,Tasks!$H$5:$H$504,"Done"))</f>
        <v/>
      </c>
      <c r="M162" s="27" t="str">
        <f aca="false">IF($A162="","",K162-L162-COUNTIFS(Tasks!$B$5:$B$504,$A162,Tasks!$H$5:$H$504,"Cancelled"))</f>
        <v/>
      </c>
      <c r="N162" s="27" t="str">
        <f aca="false">IF($A162="","",COUNTIFS(Tasks!$B$5:$B$504,$A162,Tasks!$M$5:$M$504,"OVERDUE"))</f>
        <v/>
      </c>
      <c r="O162" s="28" t="str">
        <f aca="false">IF(OR($A162="",K162=0),"",L162/(K162-COUNTIFS(Tasks!$B$5:$B$504,$A162,Tasks!$H$5:$H$504,"Cancelled")))</f>
        <v/>
      </c>
      <c r="P162" s="25"/>
      <c r="Q162" s="25"/>
    </row>
    <row r="163" customFormat="false" ht="15" hidden="false" customHeight="false" outlineLevel="0" collapsed="false">
      <c r="A163" s="25"/>
      <c r="B163" s="25"/>
      <c r="C163" s="25"/>
      <c r="D163" s="25"/>
      <c r="E163" s="25"/>
      <c r="F163" s="25"/>
      <c r="G163" s="25"/>
      <c r="H163" s="26"/>
      <c r="I163" s="26"/>
      <c r="J163" s="25"/>
      <c r="K163" s="27" t="str">
        <f aca="false">IF($A163="","",COUNTIF(Tasks!$B$5:$B$504,$A163))</f>
        <v/>
      </c>
      <c r="L163" s="27" t="str">
        <f aca="false">IF($A163="","",COUNTIFS(Tasks!$B$5:$B$504,$A163,Tasks!$H$5:$H$504,"Done"))</f>
        <v/>
      </c>
      <c r="M163" s="27" t="str">
        <f aca="false">IF($A163="","",K163-L163-COUNTIFS(Tasks!$B$5:$B$504,$A163,Tasks!$H$5:$H$504,"Cancelled"))</f>
        <v/>
      </c>
      <c r="N163" s="27" t="str">
        <f aca="false">IF($A163="","",COUNTIFS(Tasks!$B$5:$B$504,$A163,Tasks!$M$5:$M$504,"OVERDUE"))</f>
        <v/>
      </c>
      <c r="O163" s="28" t="str">
        <f aca="false">IF(OR($A163="",K163=0),"",L163/(K163-COUNTIFS(Tasks!$B$5:$B$504,$A163,Tasks!$H$5:$H$504,"Cancelled")))</f>
        <v/>
      </c>
      <c r="P163" s="25"/>
      <c r="Q163" s="25"/>
    </row>
    <row r="164" customFormat="false" ht="15" hidden="false" customHeight="false" outlineLevel="0" collapsed="false">
      <c r="A164" s="25"/>
      <c r="B164" s="25"/>
      <c r="C164" s="25"/>
      <c r="D164" s="25"/>
      <c r="E164" s="25"/>
      <c r="F164" s="25"/>
      <c r="G164" s="25"/>
      <c r="H164" s="26"/>
      <c r="I164" s="26"/>
      <c r="J164" s="25"/>
      <c r="K164" s="27" t="str">
        <f aca="false">IF($A164="","",COUNTIF(Tasks!$B$5:$B$504,$A164))</f>
        <v/>
      </c>
      <c r="L164" s="27" t="str">
        <f aca="false">IF($A164="","",COUNTIFS(Tasks!$B$5:$B$504,$A164,Tasks!$H$5:$H$504,"Done"))</f>
        <v/>
      </c>
      <c r="M164" s="27" t="str">
        <f aca="false">IF($A164="","",K164-L164-COUNTIFS(Tasks!$B$5:$B$504,$A164,Tasks!$H$5:$H$504,"Cancelled"))</f>
        <v/>
      </c>
      <c r="N164" s="27" t="str">
        <f aca="false">IF($A164="","",COUNTIFS(Tasks!$B$5:$B$504,$A164,Tasks!$M$5:$M$504,"OVERDUE"))</f>
        <v/>
      </c>
      <c r="O164" s="28" t="str">
        <f aca="false">IF(OR($A164="",K164=0),"",L164/(K164-COUNTIFS(Tasks!$B$5:$B$504,$A164,Tasks!$H$5:$H$504,"Cancelled")))</f>
        <v/>
      </c>
      <c r="P164" s="25"/>
      <c r="Q164" s="25"/>
    </row>
    <row r="165" customFormat="false" ht="15" hidden="false" customHeight="false" outlineLevel="0" collapsed="false">
      <c r="A165" s="25"/>
      <c r="B165" s="25"/>
      <c r="C165" s="25"/>
      <c r="D165" s="25"/>
      <c r="E165" s="25"/>
      <c r="F165" s="25"/>
      <c r="G165" s="25"/>
      <c r="H165" s="26"/>
      <c r="I165" s="26"/>
      <c r="J165" s="25"/>
      <c r="K165" s="27" t="str">
        <f aca="false">IF($A165="","",COUNTIF(Tasks!$B$5:$B$504,$A165))</f>
        <v/>
      </c>
      <c r="L165" s="27" t="str">
        <f aca="false">IF($A165="","",COUNTIFS(Tasks!$B$5:$B$504,$A165,Tasks!$H$5:$H$504,"Done"))</f>
        <v/>
      </c>
      <c r="M165" s="27" t="str">
        <f aca="false">IF($A165="","",K165-L165-COUNTIFS(Tasks!$B$5:$B$504,$A165,Tasks!$H$5:$H$504,"Cancelled"))</f>
        <v/>
      </c>
      <c r="N165" s="27" t="str">
        <f aca="false">IF($A165="","",COUNTIFS(Tasks!$B$5:$B$504,$A165,Tasks!$M$5:$M$504,"OVERDUE"))</f>
        <v/>
      </c>
      <c r="O165" s="28" t="str">
        <f aca="false">IF(OR($A165="",K165=0),"",L165/(K165-COUNTIFS(Tasks!$B$5:$B$504,$A165,Tasks!$H$5:$H$504,"Cancelled")))</f>
        <v/>
      </c>
      <c r="P165" s="25"/>
      <c r="Q165" s="25"/>
    </row>
    <row r="166" customFormat="false" ht="15" hidden="false" customHeight="false" outlineLevel="0" collapsed="false">
      <c r="A166" s="25"/>
      <c r="B166" s="25"/>
      <c r="C166" s="25"/>
      <c r="D166" s="25"/>
      <c r="E166" s="25"/>
      <c r="F166" s="25"/>
      <c r="G166" s="25"/>
      <c r="H166" s="26"/>
      <c r="I166" s="26"/>
      <c r="J166" s="25"/>
      <c r="K166" s="27" t="str">
        <f aca="false">IF($A166="","",COUNTIF(Tasks!$B$5:$B$504,$A166))</f>
        <v/>
      </c>
      <c r="L166" s="27" t="str">
        <f aca="false">IF($A166="","",COUNTIFS(Tasks!$B$5:$B$504,$A166,Tasks!$H$5:$H$504,"Done"))</f>
        <v/>
      </c>
      <c r="M166" s="27" t="str">
        <f aca="false">IF($A166="","",K166-L166-COUNTIFS(Tasks!$B$5:$B$504,$A166,Tasks!$H$5:$H$504,"Cancelled"))</f>
        <v/>
      </c>
      <c r="N166" s="27" t="str">
        <f aca="false">IF($A166="","",COUNTIFS(Tasks!$B$5:$B$504,$A166,Tasks!$M$5:$M$504,"OVERDUE"))</f>
        <v/>
      </c>
      <c r="O166" s="28" t="str">
        <f aca="false">IF(OR($A166="",K166=0),"",L166/(K166-COUNTIFS(Tasks!$B$5:$B$504,$A166,Tasks!$H$5:$H$504,"Cancelled")))</f>
        <v/>
      </c>
      <c r="P166" s="25"/>
      <c r="Q166" s="25"/>
    </row>
    <row r="167" customFormat="false" ht="15" hidden="false" customHeight="false" outlineLevel="0" collapsed="false">
      <c r="A167" s="25"/>
      <c r="B167" s="25"/>
      <c r="C167" s="25"/>
      <c r="D167" s="25"/>
      <c r="E167" s="25"/>
      <c r="F167" s="25"/>
      <c r="G167" s="25"/>
      <c r="H167" s="26"/>
      <c r="I167" s="26"/>
      <c r="J167" s="25"/>
      <c r="K167" s="27" t="str">
        <f aca="false">IF($A167="","",COUNTIF(Tasks!$B$5:$B$504,$A167))</f>
        <v/>
      </c>
      <c r="L167" s="27" t="str">
        <f aca="false">IF($A167="","",COUNTIFS(Tasks!$B$5:$B$504,$A167,Tasks!$H$5:$H$504,"Done"))</f>
        <v/>
      </c>
      <c r="M167" s="27" t="str">
        <f aca="false">IF($A167="","",K167-L167-COUNTIFS(Tasks!$B$5:$B$504,$A167,Tasks!$H$5:$H$504,"Cancelled"))</f>
        <v/>
      </c>
      <c r="N167" s="27" t="str">
        <f aca="false">IF($A167="","",COUNTIFS(Tasks!$B$5:$B$504,$A167,Tasks!$M$5:$M$504,"OVERDUE"))</f>
        <v/>
      </c>
      <c r="O167" s="28" t="str">
        <f aca="false">IF(OR($A167="",K167=0),"",L167/(K167-COUNTIFS(Tasks!$B$5:$B$504,$A167,Tasks!$H$5:$H$504,"Cancelled")))</f>
        <v/>
      </c>
      <c r="P167" s="25"/>
      <c r="Q167" s="25"/>
    </row>
    <row r="168" customFormat="false" ht="15" hidden="false" customHeight="false" outlineLevel="0" collapsed="false">
      <c r="A168" s="25"/>
      <c r="B168" s="25"/>
      <c r="C168" s="25"/>
      <c r="D168" s="25"/>
      <c r="E168" s="25"/>
      <c r="F168" s="25"/>
      <c r="G168" s="25"/>
      <c r="H168" s="26"/>
      <c r="I168" s="26"/>
      <c r="J168" s="25"/>
      <c r="K168" s="27" t="str">
        <f aca="false">IF($A168="","",COUNTIF(Tasks!$B$5:$B$504,$A168))</f>
        <v/>
      </c>
      <c r="L168" s="27" t="str">
        <f aca="false">IF($A168="","",COUNTIFS(Tasks!$B$5:$B$504,$A168,Tasks!$H$5:$H$504,"Done"))</f>
        <v/>
      </c>
      <c r="M168" s="27" t="str">
        <f aca="false">IF($A168="","",K168-L168-COUNTIFS(Tasks!$B$5:$B$504,$A168,Tasks!$H$5:$H$504,"Cancelled"))</f>
        <v/>
      </c>
      <c r="N168" s="27" t="str">
        <f aca="false">IF($A168="","",COUNTIFS(Tasks!$B$5:$B$504,$A168,Tasks!$M$5:$M$504,"OVERDUE"))</f>
        <v/>
      </c>
      <c r="O168" s="28" t="str">
        <f aca="false">IF(OR($A168="",K168=0),"",L168/(K168-COUNTIFS(Tasks!$B$5:$B$504,$A168,Tasks!$H$5:$H$504,"Cancelled")))</f>
        <v/>
      </c>
      <c r="P168" s="25"/>
      <c r="Q168" s="25"/>
    </row>
    <row r="169" customFormat="false" ht="15" hidden="false" customHeight="false" outlineLevel="0" collapsed="false">
      <c r="A169" s="25"/>
      <c r="B169" s="25"/>
      <c r="C169" s="25"/>
      <c r="D169" s="25"/>
      <c r="E169" s="25"/>
      <c r="F169" s="25"/>
      <c r="G169" s="25"/>
      <c r="H169" s="26"/>
      <c r="I169" s="26"/>
      <c r="J169" s="25"/>
      <c r="K169" s="27" t="str">
        <f aca="false">IF($A169="","",COUNTIF(Tasks!$B$5:$B$504,$A169))</f>
        <v/>
      </c>
      <c r="L169" s="27" t="str">
        <f aca="false">IF($A169="","",COUNTIFS(Tasks!$B$5:$B$504,$A169,Tasks!$H$5:$H$504,"Done"))</f>
        <v/>
      </c>
      <c r="M169" s="27" t="str">
        <f aca="false">IF($A169="","",K169-L169-COUNTIFS(Tasks!$B$5:$B$504,$A169,Tasks!$H$5:$H$504,"Cancelled"))</f>
        <v/>
      </c>
      <c r="N169" s="27" t="str">
        <f aca="false">IF($A169="","",COUNTIFS(Tasks!$B$5:$B$504,$A169,Tasks!$M$5:$M$504,"OVERDUE"))</f>
        <v/>
      </c>
      <c r="O169" s="28" t="str">
        <f aca="false">IF(OR($A169="",K169=0),"",L169/(K169-COUNTIFS(Tasks!$B$5:$B$504,$A169,Tasks!$H$5:$H$504,"Cancelled")))</f>
        <v/>
      </c>
      <c r="P169" s="25"/>
      <c r="Q169" s="25"/>
    </row>
    <row r="170" customFormat="false" ht="15" hidden="false" customHeight="false" outlineLevel="0" collapsed="false">
      <c r="A170" s="25"/>
      <c r="B170" s="25"/>
      <c r="C170" s="25"/>
      <c r="D170" s="25"/>
      <c r="E170" s="25"/>
      <c r="F170" s="25"/>
      <c r="G170" s="25"/>
      <c r="H170" s="26"/>
      <c r="I170" s="26"/>
      <c r="J170" s="25"/>
      <c r="K170" s="27" t="str">
        <f aca="false">IF($A170="","",COUNTIF(Tasks!$B$5:$B$504,$A170))</f>
        <v/>
      </c>
      <c r="L170" s="27" t="str">
        <f aca="false">IF($A170="","",COUNTIFS(Tasks!$B$5:$B$504,$A170,Tasks!$H$5:$H$504,"Done"))</f>
        <v/>
      </c>
      <c r="M170" s="27" t="str">
        <f aca="false">IF($A170="","",K170-L170-COUNTIFS(Tasks!$B$5:$B$504,$A170,Tasks!$H$5:$H$504,"Cancelled"))</f>
        <v/>
      </c>
      <c r="N170" s="27" t="str">
        <f aca="false">IF($A170="","",COUNTIFS(Tasks!$B$5:$B$504,$A170,Tasks!$M$5:$M$504,"OVERDUE"))</f>
        <v/>
      </c>
      <c r="O170" s="28" t="str">
        <f aca="false">IF(OR($A170="",K170=0),"",L170/(K170-COUNTIFS(Tasks!$B$5:$B$504,$A170,Tasks!$H$5:$H$504,"Cancelled")))</f>
        <v/>
      </c>
      <c r="P170" s="25"/>
      <c r="Q170" s="25"/>
    </row>
    <row r="171" customFormat="false" ht="15" hidden="false" customHeight="false" outlineLevel="0" collapsed="false">
      <c r="A171" s="25"/>
      <c r="B171" s="25"/>
      <c r="C171" s="25"/>
      <c r="D171" s="25"/>
      <c r="E171" s="25"/>
      <c r="F171" s="25"/>
      <c r="G171" s="25"/>
      <c r="H171" s="26"/>
      <c r="I171" s="26"/>
      <c r="J171" s="25"/>
      <c r="K171" s="27" t="str">
        <f aca="false">IF($A171="","",COUNTIF(Tasks!$B$5:$B$504,$A171))</f>
        <v/>
      </c>
      <c r="L171" s="27" t="str">
        <f aca="false">IF($A171="","",COUNTIFS(Tasks!$B$5:$B$504,$A171,Tasks!$H$5:$H$504,"Done"))</f>
        <v/>
      </c>
      <c r="M171" s="27" t="str">
        <f aca="false">IF($A171="","",K171-L171-COUNTIFS(Tasks!$B$5:$B$504,$A171,Tasks!$H$5:$H$504,"Cancelled"))</f>
        <v/>
      </c>
      <c r="N171" s="27" t="str">
        <f aca="false">IF($A171="","",COUNTIFS(Tasks!$B$5:$B$504,$A171,Tasks!$M$5:$M$504,"OVERDUE"))</f>
        <v/>
      </c>
      <c r="O171" s="28" t="str">
        <f aca="false">IF(OR($A171="",K171=0),"",L171/(K171-COUNTIFS(Tasks!$B$5:$B$504,$A171,Tasks!$H$5:$H$504,"Cancelled")))</f>
        <v/>
      </c>
      <c r="P171" s="25"/>
      <c r="Q171" s="25"/>
    </row>
    <row r="172" customFormat="false" ht="15" hidden="false" customHeight="false" outlineLevel="0" collapsed="false">
      <c r="A172" s="25"/>
      <c r="B172" s="25"/>
      <c r="C172" s="25"/>
      <c r="D172" s="25"/>
      <c r="E172" s="25"/>
      <c r="F172" s="25"/>
      <c r="G172" s="25"/>
      <c r="H172" s="26"/>
      <c r="I172" s="26"/>
      <c r="J172" s="25"/>
      <c r="K172" s="27" t="str">
        <f aca="false">IF($A172="","",COUNTIF(Tasks!$B$5:$B$504,$A172))</f>
        <v/>
      </c>
      <c r="L172" s="27" t="str">
        <f aca="false">IF($A172="","",COUNTIFS(Tasks!$B$5:$B$504,$A172,Tasks!$H$5:$H$504,"Done"))</f>
        <v/>
      </c>
      <c r="M172" s="27" t="str">
        <f aca="false">IF($A172="","",K172-L172-COUNTIFS(Tasks!$B$5:$B$504,$A172,Tasks!$H$5:$H$504,"Cancelled"))</f>
        <v/>
      </c>
      <c r="N172" s="27" t="str">
        <f aca="false">IF($A172="","",COUNTIFS(Tasks!$B$5:$B$504,$A172,Tasks!$M$5:$M$504,"OVERDUE"))</f>
        <v/>
      </c>
      <c r="O172" s="28" t="str">
        <f aca="false">IF(OR($A172="",K172=0),"",L172/(K172-COUNTIFS(Tasks!$B$5:$B$504,$A172,Tasks!$H$5:$H$504,"Cancelled")))</f>
        <v/>
      </c>
      <c r="P172" s="25"/>
      <c r="Q172" s="25"/>
    </row>
    <row r="173" customFormat="false" ht="15" hidden="false" customHeight="false" outlineLevel="0" collapsed="false">
      <c r="A173" s="25"/>
      <c r="B173" s="25"/>
      <c r="C173" s="25"/>
      <c r="D173" s="25"/>
      <c r="E173" s="25"/>
      <c r="F173" s="25"/>
      <c r="G173" s="25"/>
      <c r="H173" s="26"/>
      <c r="I173" s="26"/>
      <c r="J173" s="25"/>
      <c r="K173" s="27" t="str">
        <f aca="false">IF($A173="","",COUNTIF(Tasks!$B$5:$B$504,$A173))</f>
        <v/>
      </c>
      <c r="L173" s="27" t="str">
        <f aca="false">IF($A173="","",COUNTIFS(Tasks!$B$5:$B$504,$A173,Tasks!$H$5:$H$504,"Done"))</f>
        <v/>
      </c>
      <c r="M173" s="27" t="str">
        <f aca="false">IF($A173="","",K173-L173-COUNTIFS(Tasks!$B$5:$B$504,$A173,Tasks!$H$5:$H$504,"Cancelled"))</f>
        <v/>
      </c>
      <c r="N173" s="27" t="str">
        <f aca="false">IF($A173="","",COUNTIFS(Tasks!$B$5:$B$504,$A173,Tasks!$M$5:$M$504,"OVERDUE"))</f>
        <v/>
      </c>
      <c r="O173" s="28" t="str">
        <f aca="false">IF(OR($A173="",K173=0),"",L173/(K173-COUNTIFS(Tasks!$B$5:$B$504,$A173,Tasks!$H$5:$H$504,"Cancelled")))</f>
        <v/>
      </c>
      <c r="P173" s="25"/>
      <c r="Q173" s="25"/>
    </row>
    <row r="174" customFormat="false" ht="15" hidden="false" customHeight="false" outlineLevel="0" collapsed="false">
      <c r="A174" s="25"/>
      <c r="B174" s="25"/>
      <c r="C174" s="25"/>
      <c r="D174" s="25"/>
      <c r="E174" s="25"/>
      <c r="F174" s="25"/>
      <c r="G174" s="25"/>
      <c r="H174" s="26"/>
      <c r="I174" s="26"/>
      <c r="J174" s="25"/>
      <c r="K174" s="27" t="str">
        <f aca="false">IF($A174="","",COUNTIF(Tasks!$B$5:$B$504,$A174))</f>
        <v/>
      </c>
      <c r="L174" s="27" t="str">
        <f aca="false">IF($A174="","",COUNTIFS(Tasks!$B$5:$B$504,$A174,Tasks!$H$5:$H$504,"Done"))</f>
        <v/>
      </c>
      <c r="M174" s="27" t="str">
        <f aca="false">IF($A174="","",K174-L174-COUNTIFS(Tasks!$B$5:$B$504,$A174,Tasks!$H$5:$H$504,"Cancelled"))</f>
        <v/>
      </c>
      <c r="N174" s="27" t="str">
        <f aca="false">IF($A174="","",COUNTIFS(Tasks!$B$5:$B$504,$A174,Tasks!$M$5:$M$504,"OVERDUE"))</f>
        <v/>
      </c>
      <c r="O174" s="28" t="str">
        <f aca="false">IF(OR($A174="",K174=0),"",L174/(K174-COUNTIFS(Tasks!$B$5:$B$504,$A174,Tasks!$H$5:$H$504,"Cancelled")))</f>
        <v/>
      </c>
      <c r="P174" s="25"/>
      <c r="Q174" s="25"/>
    </row>
    <row r="175" customFormat="false" ht="15" hidden="false" customHeight="false" outlineLevel="0" collapsed="false">
      <c r="A175" s="25"/>
      <c r="B175" s="25"/>
      <c r="C175" s="25"/>
      <c r="D175" s="25"/>
      <c r="E175" s="25"/>
      <c r="F175" s="25"/>
      <c r="G175" s="25"/>
      <c r="H175" s="26"/>
      <c r="I175" s="26"/>
      <c r="J175" s="25"/>
      <c r="K175" s="27" t="str">
        <f aca="false">IF($A175="","",COUNTIF(Tasks!$B$5:$B$504,$A175))</f>
        <v/>
      </c>
      <c r="L175" s="27" t="str">
        <f aca="false">IF($A175="","",COUNTIFS(Tasks!$B$5:$B$504,$A175,Tasks!$H$5:$H$504,"Done"))</f>
        <v/>
      </c>
      <c r="M175" s="27" t="str">
        <f aca="false">IF($A175="","",K175-L175-COUNTIFS(Tasks!$B$5:$B$504,$A175,Tasks!$H$5:$H$504,"Cancelled"))</f>
        <v/>
      </c>
      <c r="N175" s="27" t="str">
        <f aca="false">IF($A175="","",COUNTIFS(Tasks!$B$5:$B$504,$A175,Tasks!$M$5:$M$504,"OVERDUE"))</f>
        <v/>
      </c>
      <c r="O175" s="28" t="str">
        <f aca="false">IF(OR($A175="",K175=0),"",L175/(K175-COUNTIFS(Tasks!$B$5:$B$504,$A175,Tasks!$H$5:$H$504,"Cancelled")))</f>
        <v/>
      </c>
      <c r="P175" s="25"/>
      <c r="Q175" s="25"/>
    </row>
    <row r="176" customFormat="false" ht="15" hidden="false" customHeight="false" outlineLevel="0" collapsed="false">
      <c r="A176" s="25"/>
      <c r="B176" s="25"/>
      <c r="C176" s="25"/>
      <c r="D176" s="25"/>
      <c r="E176" s="25"/>
      <c r="F176" s="25"/>
      <c r="G176" s="25"/>
      <c r="H176" s="26"/>
      <c r="I176" s="26"/>
      <c r="J176" s="25"/>
      <c r="K176" s="27" t="str">
        <f aca="false">IF($A176="","",COUNTIF(Tasks!$B$5:$B$504,$A176))</f>
        <v/>
      </c>
      <c r="L176" s="27" t="str">
        <f aca="false">IF($A176="","",COUNTIFS(Tasks!$B$5:$B$504,$A176,Tasks!$H$5:$H$504,"Done"))</f>
        <v/>
      </c>
      <c r="M176" s="27" t="str">
        <f aca="false">IF($A176="","",K176-L176-COUNTIFS(Tasks!$B$5:$B$504,$A176,Tasks!$H$5:$H$504,"Cancelled"))</f>
        <v/>
      </c>
      <c r="N176" s="27" t="str">
        <f aca="false">IF($A176="","",COUNTIFS(Tasks!$B$5:$B$504,$A176,Tasks!$M$5:$M$504,"OVERDUE"))</f>
        <v/>
      </c>
      <c r="O176" s="28" t="str">
        <f aca="false">IF(OR($A176="",K176=0),"",L176/(K176-COUNTIFS(Tasks!$B$5:$B$504,$A176,Tasks!$H$5:$H$504,"Cancelled")))</f>
        <v/>
      </c>
      <c r="P176" s="25"/>
      <c r="Q176" s="25"/>
    </row>
    <row r="177" customFormat="false" ht="15" hidden="false" customHeight="false" outlineLevel="0" collapsed="false">
      <c r="A177" s="25"/>
      <c r="B177" s="25"/>
      <c r="C177" s="25"/>
      <c r="D177" s="25"/>
      <c r="E177" s="25"/>
      <c r="F177" s="25"/>
      <c r="G177" s="25"/>
      <c r="H177" s="26"/>
      <c r="I177" s="26"/>
      <c r="J177" s="25"/>
      <c r="K177" s="27" t="str">
        <f aca="false">IF($A177="","",COUNTIF(Tasks!$B$5:$B$504,$A177))</f>
        <v/>
      </c>
      <c r="L177" s="27" t="str">
        <f aca="false">IF($A177="","",COUNTIFS(Tasks!$B$5:$B$504,$A177,Tasks!$H$5:$H$504,"Done"))</f>
        <v/>
      </c>
      <c r="M177" s="27" t="str">
        <f aca="false">IF($A177="","",K177-L177-COUNTIFS(Tasks!$B$5:$B$504,$A177,Tasks!$H$5:$H$504,"Cancelled"))</f>
        <v/>
      </c>
      <c r="N177" s="27" t="str">
        <f aca="false">IF($A177="","",COUNTIFS(Tasks!$B$5:$B$504,$A177,Tasks!$M$5:$M$504,"OVERDUE"))</f>
        <v/>
      </c>
      <c r="O177" s="28" t="str">
        <f aca="false">IF(OR($A177="",K177=0),"",L177/(K177-COUNTIFS(Tasks!$B$5:$B$504,$A177,Tasks!$H$5:$H$504,"Cancelled")))</f>
        <v/>
      </c>
      <c r="P177" s="25"/>
      <c r="Q177" s="25"/>
    </row>
    <row r="178" customFormat="false" ht="15" hidden="false" customHeight="false" outlineLevel="0" collapsed="false">
      <c r="A178" s="25"/>
      <c r="B178" s="25"/>
      <c r="C178" s="25"/>
      <c r="D178" s="25"/>
      <c r="E178" s="25"/>
      <c r="F178" s="25"/>
      <c r="G178" s="25"/>
      <c r="H178" s="26"/>
      <c r="I178" s="26"/>
      <c r="J178" s="25"/>
      <c r="K178" s="27" t="str">
        <f aca="false">IF($A178="","",COUNTIF(Tasks!$B$5:$B$504,$A178))</f>
        <v/>
      </c>
      <c r="L178" s="27" t="str">
        <f aca="false">IF($A178="","",COUNTIFS(Tasks!$B$5:$B$504,$A178,Tasks!$H$5:$H$504,"Done"))</f>
        <v/>
      </c>
      <c r="M178" s="27" t="str">
        <f aca="false">IF($A178="","",K178-L178-COUNTIFS(Tasks!$B$5:$B$504,$A178,Tasks!$H$5:$H$504,"Cancelled"))</f>
        <v/>
      </c>
      <c r="N178" s="27" t="str">
        <f aca="false">IF($A178="","",COUNTIFS(Tasks!$B$5:$B$504,$A178,Tasks!$M$5:$M$504,"OVERDUE"))</f>
        <v/>
      </c>
      <c r="O178" s="28" t="str">
        <f aca="false">IF(OR($A178="",K178=0),"",L178/(K178-COUNTIFS(Tasks!$B$5:$B$504,$A178,Tasks!$H$5:$H$504,"Cancelled")))</f>
        <v/>
      </c>
      <c r="P178" s="25"/>
      <c r="Q178" s="25"/>
    </row>
    <row r="179" customFormat="false" ht="15" hidden="false" customHeight="false" outlineLevel="0" collapsed="false">
      <c r="A179" s="25"/>
      <c r="B179" s="25"/>
      <c r="C179" s="25"/>
      <c r="D179" s="25"/>
      <c r="E179" s="25"/>
      <c r="F179" s="25"/>
      <c r="G179" s="25"/>
      <c r="H179" s="26"/>
      <c r="I179" s="26"/>
      <c r="J179" s="25"/>
      <c r="K179" s="27" t="str">
        <f aca="false">IF($A179="","",COUNTIF(Tasks!$B$5:$B$504,$A179))</f>
        <v/>
      </c>
      <c r="L179" s="27" t="str">
        <f aca="false">IF($A179="","",COUNTIFS(Tasks!$B$5:$B$504,$A179,Tasks!$H$5:$H$504,"Done"))</f>
        <v/>
      </c>
      <c r="M179" s="27" t="str">
        <f aca="false">IF($A179="","",K179-L179-COUNTIFS(Tasks!$B$5:$B$504,$A179,Tasks!$H$5:$H$504,"Cancelled"))</f>
        <v/>
      </c>
      <c r="N179" s="27" t="str">
        <f aca="false">IF($A179="","",COUNTIFS(Tasks!$B$5:$B$504,$A179,Tasks!$M$5:$M$504,"OVERDUE"))</f>
        <v/>
      </c>
      <c r="O179" s="28" t="str">
        <f aca="false">IF(OR($A179="",K179=0),"",L179/(K179-COUNTIFS(Tasks!$B$5:$B$504,$A179,Tasks!$H$5:$H$504,"Cancelled")))</f>
        <v/>
      </c>
      <c r="P179" s="25"/>
      <c r="Q179" s="25"/>
    </row>
    <row r="180" customFormat="false" ht="15" hidden="false" customHeight="false" outlineLevel="0" collapsed="false">
      <c r="A180" s="25"/>
      <c r="B180" s="25"/>
      <c r="C180" s="25"/>
      <c r="D180" s="25"/>
      <c r="E180" s="25"/>
      <c r="F180" s="25"/>
      <c r="G180" s="25"/>
      <c r="H180" s="26"/>
      <c r="I180" s="26"/>
      <c r="J180" s="25"/>
      <c r="K180" s="27" t="str">
        <f aca="false">IF($A180="","",COUNTIF(Tasks!$B$5:$B$504,$A180))</f>
        <v/>
      </c>
      <c r="L180" s="27" t="str">
        <f aca="false">IF($A180="","",COUNTIFS(Tasks!$B$5:$B$504,$A180,Tasks!$H$5:$H$504,"Done"))</f>
        <v/>
      </c>
      <c r="M180" s="27" t="str">
        <f aca="false">IF($A180="","",K180-L180-COUNTIFS(Tasks!$B$5:$B$504,$A180,Tasks!$H$5:$H$504,"Cancelled"))</f>
        <v/>
      </c>
      <c r="N180" s="27" t="str">
        <f aca="false">IF($A180="","",COUNTIFS(Tasks!$B$5:$B$504,$A180,Tasks!$M$5:$M$504,"OVERDUE"))</f>
        <v/>
      </c>
      <c r="O180" s="28" t="str">
        <f aca="false">IF(OR($A180="",K180=0),"",L180/(K180-COUNTIFS(Tasks!$B$5:$B$504,$A180,Tasks!$H$5:$H$504,"Cancelled")))</f>
        <v/>
      </c>
      <c r="P180" s="25"/>
      <c r="Q180" s="25"/>
    </row>
    <row r="181" customFormat="false" ht="15" hidden="false" customHeight="false" outlineLevel="0" collapsed="false">
      <c r="A181" s="25"/>
      <c r="B181" s="25"/>
      <c r="C181" s="25"/>
      <c r="D181" s="25"/>
      <c r="E181" s="25"/>
      <c r="F181" s="25"/>
      <c r="G181" s="25"/>
      <c r="H181" s="26"/>
      <c r="I181" s="26"/>
      <c r="J181" s="25"/>
      <c r="K181" s="27" t="str">
        <f aca="false">IF($A181="","",COUNTIF(Tasks!$B$5:$B$504,$A181))</f>
        <v/>
      </c>
      <c r="L181" s="27" t="str">
        <f aca="false">IF($A181="","",COUNTIFS(Tasks!$B$5:$B$504,$A181,Tasks!$H$5:$H$504,"Done"))</f>
        <v/>
      </c>
      <c r="M181" s="27" t="str">
        <f aca="false">IF($A181="","",K181-L181-COUNTIFS(Tasks!$B$5:$B$504,$A181,Tasks!$H$5:$H$504,"Cancelled"))</f>
        <v/>
      </c>
      <c r="N181" s="27" t="str">
        <f aca="false">IF($A181="","",COUNTIFS(Tasks!$B$5:$B$504,$A181,Tasks!$M$5:$M$504,"OVERDUE"))</f>
        <v/>
      </c>
      <c r="O181" s="28" t="str">
        <f aca="false">IF(OR($A181="",K181=0),"",L181/(K181-COUNTIFS(Tasks!$B$5:$B$504,$A181,Tasks!$H$5:$H$504,"Cancelled")))</f>
        <v/>
      </c>
      <c r="P181" s="25"/>
      <c r="Q181" s="25"/>
    </row>
    <row r="182" customFormat="false" ht="15" hidden="false" customHeight="false" outlineLevel="0" collapsed="false">
      <c r="A182" s="25"/>
      <c r="B182" s="25"/>
      <c r="C182" s="25"/>
      <c r="D182" s="25"/>
      <c r="E182" s="25"/>
      <c r="F182" s="25"/>
      <c r="G182" s="25"/>
      <c r="H182" s="26"/>
      <c r="I182" s="26"/>
      <c r="J182" s="25"/>
      <c r="K182" s="27" t="str">
        <f aca="false">IF($A182="","",COUNTIF(Tasks!$B$5:$B$504,$A182))</f>
        <v/>
      </c>
      <c r="L182" s="27" t="str">
        <f aca="false">IF($A182="","",COUNTIFS(Tasks!$B$5:$B$504,$A182,Tasks!$H$5:$H$504,"Done"))</f>
        <v/>
      </c>
      <c r="M182" s="27" t="str">
        <f aca="false">IF($A182="","",K182-L182-COUNTIFS(Tasks!$B$5:$B$504,$A182,Tasks!$H$5:$H$504,"Cancelled"))</f>
        <v/>
      </c>
      <c r="N182" s="27" t="str">
        <f aca="false">IF($A182="","",COUNTIFS(Tasks!$B$5:$B$504,$A182,Tasks!$M$5:$M$504,"OVERDUE"))</f>
        <v/>
      </c>
      <c r="O182" s="28" t="str">
        <f aca="false">IF(OR($A182="",K182=0),"",L182/(K182-COUNTIFS(Tasks!$B$5:$B$504,$A182,Tasks!$H$5:$H$504,"Cancelled")))</f>
        <v/>
      </c>
      <c r="P182" s="25"/>
      <c r="Q182" s="25"/>
    </row>
    <row r="183" customFormat="false" ht="15" hidden="false" customHeight="false" outlineLevel="0" collapsed="false">
      <c r="A183" s="25"/>
      <c r="B183" s="25"/>
      <c r="C183" s="25"/>
      <c r="D183" s="25"/>
      <c r="E183" s="25"/>
      <c r="F183" s="25"/>
      <c r="G183" s="25"/>
      <c r="H183" s="26"/>
      <c r="I183" s="26"/>
      <c r="J183" s="25"/>
      <c r="K183" s="27" t="str">
        <f aca="false">IF($A183="","",COUNTIF(Tasks!$B$5:$B$504,$A183))</f>
        <v/>
      </c>
      <c r="L183" s="27" t="str">
        <f aca="false">IF($A183="","",COUNTIFS(Tasks!$B$5:$B$504,$A183,Tasks!$H$5:$H$504,"Done"))</f>
        <v/>
      </c>
      <c r="M183" s="27" t="str">
        <f aca="false">IF($A183="","",K183-L183-COUNTIFS(Tasks!$B$5:$B$504,$A183,Tasks!$H$5:$H$504,"Cancelled"))</f>
        <v/>
      </c>
      <c r="N183" s="27" t="str">
        <f aca="false">IF($A183="","",COUNTIFS(Tasks!$B$5:$B$504,$A183,Tasks!$M$5:$M$504,"OVERDUE"))</f>
        <v/>
      </c>
      <c r="O183" s="28" t="str">
        <f aca="false">IF(OR($A183="",K183=0),"",L183/(K183-COUNTIFS(Tasks!$B$5:$B$504,$A183,Tasks!$H$5:$H$504,"Cancelled")))</f>
        <v/>
      </c>
      <c r="P183" s="25"/>
      <c r="Q183" s="25"/>
    </row>
    <row r="184" customFormat="false" ht="15" hidden="false" customHeight="false" outlineLevel="0" collapsed="false">
      <c r="A184" s="25"/>
      <c r="B184" s="25"/>
      <c r="C184" s="25"/>
      <c r="D184" s="25"/>
      <c r="E184" s="25"/>
      <c r="F184" s="25"/>
      <c r="G184" s="25"/>
      <c r="H184" s="26"/>
      <c r="I184" s="26"/>
      <c r="J184" s="25"/>
      <c r="K184" s="27" t="str">
        <f aca="false">IF($A184="","",COUNTIF(Tasks!$B$5:$B$504,$A184))</f>
        <v/>
      </c>
      <c r="L184" s="27" t="str">
        <f aca="false">IF($A184="","",COUNTIFS(Tasks!$B$5:$B$504,$A184,Tasks!$H$5:$H$504,"Done"))</f>
        <v/>
      </c>
      <c r="M184" s="27" t="str">
        <f aca="false">IF($A184="","",K184-L184-COUNTIFS(Tasks!$B$5:$B$504,$A184,Tasks!$H$5:$H$504,"Cancelled"))</f>
        <v/>
      </c>
      <c r="N184" s="27" t="str">
        <f aca="false">IF($A184="","",COUNTIFS(Tasks!$B$5:$B$504,$A184,Tasks!$M$5:$M$504,"OVERDUE"))</f>
        <v/>
      </c>
      <c r="O184" s="28" t="str">
        <f aca="false">IF(OR($A184="",K184=0),"",L184/(K184-COUNTIFS(Tasks!$B$5:$B$504,$A184,Tasks!$H$5:$H$504,"Cancelled")))</f>
        <v/>
      </c>
      <c r="P184" s="25"/>
      <c r="Q184" s="25"/>
    </row>
    <row r="185" customFormat="false" ht="15" hidden="false" customHeight="false" outlineLevel="0" collapsed="false">
      <c r="A185" s="25"/>
      <c r="B185" s="25"/>
      <c r="C185" s="25"/>
      <c r="D185" s="25"/>
      <c r="E185" s="25"/>
      <c r="F185" s="25"/>
      <c r="G185" s="25"/>
      <c r="H185" s="26"/>
      <c r="I185" s="26"/>
      <c r="J185" s="25"/>
      <c r="K185" s="27" t="str">
        <f aca="false">IF($A185="","",COUNTIF(Tasks!$B$5:$B$504,$A185))</f>
        <v/>
      </c>
      <c r="L185" s="27" t="str">
        <f aca="false">IF($A185="","",COUNTIFS(Tasks!$B$5:$B$504,$A185,Tasks!$H$5:$H$504,"Done"))</f>
        <v/>
      </c>
      <c r="M185" s="27" t="str">
        <f aca="false">IF($A185="","",K185-L185-COUNTIFS(Tasks!$B$5:$B$504,$A185,Tasks!$H$5:$H$504,"Cancelled"))</f>
        <v/>
      </c>
      <c r="N185" s="27" t="str">
        <f aca="false">IF($A185="","",COUNTIFS(Tasks!$B$5:$B$504,$A185,Tasks!$M$5:$M$504,"OVERDUE"))</f>
        <v/>
      </c>
      <c r="O185" s="28" t="str">
        <f aca="false">IF(OR($A185="",K185=0),"",L185/(K185-COUNTIFS(Tasks!$B$5:$B$504,$A185,Tasks!$H$5:$H$504,"Cancelled")))</f>
        <v/>
      </c>
      <c r="P185" s="25"/>
      <c r="Q185" s="25"/>
    </row>
    <row r="186" customFormat="false" ht="15" hidden="false" customHeight="false" outlineLevel="0" collapsed="false">
      <c r="A186" s="25"/>
      <c r="B186" s="25"/>
      <c r="C186" s="25"/>
      <c r="D186" s="25"/>
      <c r="E186" s="25"/>
      <c r="F186" s="25"/>
      <c r="G186" s="25"/>
      <c r="H186" s="26"/>
      <c r="I186" s="26"/>
      <c r="J186" s="25"/>
      <c r="K186" s="27" t="str">
        <f aca="false">IF($A186="","",COUNTIF(Tasks!$B$5:$B$504,$A186))</f>
        <v/>
      </c>
      <c r="L186" s="27" t="str">
        <f aca="false">IF($A186="","",COUNTIFS(Tasks!$B$5:$B$504,$A186,Tasks!$H$5:$H$504,"Done"))</f>
        <v/>
      </c>
      <c r="M186" s="27" t="str">
        <f aca="false">IF($A186="","",K186-L186-COUNTIFS(Tasks!$B$5:$B$504,$A186,Tasks!$H$5:$H$504,"Cancelled"))</f>
        <v/>
      </c>
      <c r="N186" s="27" t="str">
        <f aca="false">IF($A186="","",COUNTIFS(Tasks!$B$5:$B$504,$A186,Tasks!$M$5:$M$504,"OVERDUE"))</f>
        <v/>
      </c>
      <c r="O186" s="28" t="str">
        <f aca="false">IF(OR($A186="",K186=0),"",L186/(K186-COUNTIFS(Tasks!$B$5:$B$504,$A186,Tasks!$H$5:$H$504,"Cancelled")))</f>
        <v/>
      </c>
      <c r="P186" s="25"/>
      <c r="Q186" s="25"/>
    </row>
    <row r="187" customFormat="false" ht="15" hidden="false" customHeight="false" outlineLevel="0" collapsed="false">
      <c r="A187" s="25"/>
      <c r="B187" s="25"/>
      <c r="C187" s="25"/>
      <c r="D187" s="25"/>
      <c r="E187" s="25"/>
      <c r="F187" s="25"/>
      <c r="G187" s="25"/>
      <c r="H187" s="26"/>
      <c r="I187" s="26"/>
      <c r="J187" s="25"/>
      <c r="K187" s="27" t="str">
        <f aca="false">IF($A187="","",COUNTIF(Tasks!$B$5:$B$504,$A187))</f>
        <v/>
      </c>
      <c r="L187" s="27" t="str">
        <f aca="false">IF($A187="","",COUNTIFS(Tasks!$B$5:$B$504,$A187,Tasks!$H$5:$H$504,"Done"))</f>
        <v/>
      </c>
      <c r="M187" s="27" t="str">
        <f aca="false">IF($A187="","",K187-L187-COUNTIFS(Tasks!$B$5:$B$504,$A187,Tasks!$H$5:$H$504,"Cancelled"))</f>
        <v/>
      </c>
      <c r="N187" s="27" t="str">
        <f aca="false">IF($A187="","",COUNTIFS(Tasks!$B$5:$B$504,$A187,Tasks!$M$5:$M$504,"OVERDUE"))</f>
        <v/>
      </c>
      <c r="O187" s="28" t="str">
        <f aca="false">IF(OR($A187="",K187=0),"",L187/(K187-COUNTIFS(Tasks!$B$5:$B$504,$A187,Tasks!$H$5:$H$504,"Cancelled")))</f>
        <v/>
      </c>
      <c r="P187" s="25"/>
      <c r="Q187" s="25"/>
    </row>
    <row r="188" customFormat="false" ht="15" hidden="false" customHeight="false" outlineLevel="0" collapsed="false">
      <c r="A188" s="25"/>
      <c r="B188" s="25"/>
      <c r="C188" s="25"/>
      <c r="D188" s="25"/>
      <c r="E188" s="25"/>
      <c r="F188" s="25"/>
      <c r="G188" s="25"/>
      <c r="H188" s="26"/>
      <c r="I188" s="26"/>
      <c r="J188" s="25"/>
      <c r="K188" s="27" t="str">
        <f aca="false">IF($A188="","",COUNTIF(Tasks!$B$5:$B$504,$A188))</f>
        <v/>
      </c>
      <c r="L188" s="27" t="str">
        <f aca="false">IF($A188="","",COUNTIFS(Tasks!$B$5:$B$504,$A188,Tasks!$H$5:$H$504,"Done"))</f>
        <v/>
      </c>
      <c r="M188" s="27" t="str">
        <f aca="false">IF($A188="","",K188-L188-COUNTIFS(Tasks!$B$5:$B$504,$A188,Tasks!$H$5:$H$504,"Cancelled"))</f>
        <v/>
      </c>
      <c r="N188" s="27" t="str">
        <f aca="false">IF($A188="","",COUNTIFS(Tasks!$B$5:$B$504,$A188,Tasks!$M$5:$M$504,"OVERDUE"))</f>
        <v/>
      </c>
      <c r="O188" s="28" t="str">
        <f aca="false">IF(OR($A188="",K188=0),"",L188/(K188-COUNTIFS(Tasks!$B$5:$B$504,$A188,Tasks!$H$5:$H$504,"Cancelled")))</f>
        <v/>
      </c>
      <c r="P188" s="25"/>
      <c r="Q188" s="25"/>
    </row>
    <row r="189" customFormat="false" ht="15" hidden="false" customHeight="false" outlineLevel="0" collapsed="false">
      <c r="A189" s="25"/>
      <c r="B189" s="25"/>
      <c r="C189" s="25"/>
      <c r="D189" s="25"/>
      <c r="E189" s="25"/>
      <c r="F189" s="25"/>
      <c r="G189" s="25"/>
      <c r="H189" s="26"/>
      <c r="I189" s="26"/>
      <c r="J189" s="25"/>
      <c r="K189" s="27" t="str">
        <f aca="false">IF($A189="","",COUNTIF(Tasks!$B$5:$B$504,$A189))</f>
        <v/>
      </c>
      <c r="L189" s="27" t="str">
        <f aca="false">IF($A189="","",COUNTIFS(Tasks!$B$5:$B$504,$A189,Tasks!$H$5:$H$504,"Done"))</f>
        <v/>
      </c>
      <c r="M189" s="27" t="str">
        <f aca="false">IF($A189="","",K189-L189-COUNTIFS(Tasks!$B$5:$B$504,$A189,Tasks!$H$5:$H$504,"Cancelled"))</f>
        <v/>
      </c>
      <c r="N189" s="27" t="str">
        <f aca="false">IF($A189="","",COUNTIFS(Tasks!$B$5:$B$504,$A189,Tasks!$M$5:$M$504,"OVERDUE"))</f>
        <v/>
      </c>
      <c r="O189" s="28" t="str">
        <f aca="false">IF(OR($A189="",K189=0),"",L189/(K189-COUNTIFS(Tasks!$B$5:$B$504,$A189,Tasks!$H$5:$H$504,"Cancelled")))</f>
        <v/>
      </c>
      <c r="P189" s="25"/>
      <c r="Q189" s="25"/>
    </row>
    <row r="190" customFormat="false" ht="15" hidden="false" customHeight="false" outlineLevel="0" collapsed="false">
      <c r="A190" s="25"/>
      <c r="B190" s="25"/>
      <c r="C190" s="25"/>
      <c r="D190" s="25"/>
      <c r="E190" s="25"/>
      <c r="F190" s="25"/>
      <c r="G190" s="25"/>
      <c r="H190" s="26"/>
      <c r="I190" s="26"/>
      <c r="J190" s="25"/>
      <c r="K190" s="27" t="str">
        <f aca="false">IF($A190="","",COUNTIF(Tasks!$B$5:$B$504,$A190))</f>
        <v/>
      </c>
      <c r="L190" s="27" t="str">
        <f aca="false">IF($A190="","",COUNTIFS(Tasks!$B$5:$B$504,$A190,Tasks!$H$5:$H$504,"Done"))</f>
        <v/>
      </c>
      <c r="M190" s="27" t="str">
        <f aca="false">IF($A190="","",K190-L190-COUNTIFS(Tasks!$B$5:$B$504,$A190,Tasks!$H$5:$H$504,"Cancelled"))</f>
        <v/>
      </c>
      <c r="N190" s="27" t="str">
        <f aca="false">IF($A190="","",COUNTIFS(Tasks!$B$5:$B$504,$A190,Tasks!$M$5:$M$504,"OVERDUE"))</f>
        <v/>
      </c>
      <c r="O190" s="28" t="str">
        <f aca="false">IF(OR($A190="",K190=0),"",L190/(K190-COUNTIFS(Tasks!$B$5:$B$504,$A190,Tasks!$H$5:$H$504,"Cancelled")))</f>
        <v/>
      </c>
      <c r="P190" s="25"/>
      <c r="Q190" s="25"/>
    </row>
    <row r="191" customFormat="false" ht="15" hidden="false" customHeight="false" outlineLevel="0" collapsed="false">
      <c r="A191" s="25"/>
      <c r="B191" s="25"/>
      <c r="C191" s="25"/>
      <c r="D191" s="25"/>
      <c r="E191" s="25"/>
      <c r="F191" s="25"/>
      <c r="G191" s="25"/>
      <c r="H191" s="26"/>
      <c r="I191" s="26"/>
      <c r="J191" s="25"/>
      <c r="K191" s="27" t="str">
        <f aca="false">IF($A191="","",COUNTIF(Tasks!$B$5:$B$504,$A191))</f>
        <v/>
      </c>
      <c r="L191" s="27" t="str">
        <f aca="false">IF($A191="","",COUNTIFS(Tasks!$B$5:$B$504,$A191,Tasks!$H$5:$H$504,"Done"))</f>
        <v/>
      </c>
      <c r="M191" s="27" t="str">
        <f aca="false">IF($A191="","",K191-L191-COUNTIFS(Tasks!$B$5:$B$504,$A191,Tasks!$H$5:$H$504,"Cancelled"))</f>
        <v/>
      </c>
      <c r="N191" s="27" t="str">
        <f aca="false">IF($A191="","",COUNTIFS(Tasks!$B$5:$B$504,$A191,Tasks!$M$5:$M$504,"OVERDUE"))</f>
        <v/>
      </c>
      <c r="O191" s="28" t="str">
        <f aca="false">IF(OR($A191="",K191=0),"",L191/(K191-COUNTIFS(Tasks!$B$5:$B$504,$A191,Tasks!$H$5:$H$504,"Cancelled")))</f>
        <v/>
      </c>
      <c r="P191" s="25"/>
      <c r="Q191" s="25"/>
    </row>
    <row r="192" customFormat="false" ht="15" hidden="false" customHeight="false" outlineLevel="0" collapsed="false">
      <c r="A192" s="25"/>
      <c r="B192" s="25"/>
      <c r="C192" s="25"/>
      <c r="D192" s="25"/>
      <c r="E192" s="25"/>
      <c r="F192" s="25"/>
      <c r="G192" s="25"/>
      <c r="H192" s="26"/>
      <c r="I192" s="26"/>
      <c r="J192" s="25"/>
      <c r="K192" s="27" t="str">
        <f aca="false">IF($A192="","",COUNTIF(Tasks!$B$5:$B$504,$A192))</f>
        <v/>
      </c>
      <c r="L192" s="27" t="str">
        <f aca="false">IF($A192="","",COUNTIFS(Tasks!$B$5:$B$504,$A192,Tasks!$H$5:$H$504,"Done"))</f>
        <v/>
      </c>
      <c r="M192" s="27" t="str">
        <f aca="false">IF($A192="","",K192-L192-COUNTIFS(Tasks!$B$5:$B$504,$A192,Tasks!$H$5:$H$504,"Cancelled"))</f>
        <v/>
      </c>
      <c r="N192" s="27" t="str">
        <f aca="false">IF($A192="","",COUNTIFS(Tasks!$B$5:$B$504,$A192,Tasks!$M$5:$M$504,"OVERDUE"))</f>
        <v/>
      </c>
      <c r="O192" s="28" t="str">
        <f aca="false">IF(OR($A192="",K192=0),"",L192/(K192-COUNTIFS(Tasks!$B$5:$B$504,$A192,Tasks!$H$5:$H$504,"Cancelled")))</f>
        <v/>
      </c>
      <c r="P192" s="25"/>
      <c r="Q192" s="25"/>
    </row>
    <row r="193" customFormat="false" ht="15" hidden="false" customHeight="false" outlineLevel="0" collapsed="false">
      <c r="A193" s="25"/>
      <c r="B193" s="25"/>
      <c r="C193" s="25"/>
      <c r="D193" s="25"/>
      <c r="E193" s="25"/>
      <c r="F193" s="25"/>
      <c r="G193" s="25"/>
      <c r="H193" s="26"/>
      <c r="I193" s="26"/>
      <c r="J193" s="25"/>
      <c r="K193" s="27" t="str">
        <f aca="false">IF($A193="","",COUNTIF(Tasks!$B$5:$B$504,$A193))</f>
        <v/>
      </c>
      <c r="L193" s="27" t="str">
        <f aca="false">IF($A193="","",COUNTIFS(Tasks!$B$5:$B$504,$A193,Tasks!$H$5:$H$504,"Done"))</f>
        <v/>
      </c>
      <c r="M193" s="27" t="str">
        <f aca="false">IF($A193="","",K193-L193-COUNTIFS(Tasks!$B$5:$B$504,$A193,Tasks!$H$5:$H$504,"Cancelled"))</f>
        <v/>
      </c>
      <c r="N193" s="27" t="str">
        <f aca="false">IF($A193="","",COUNTIFS(Tasks!$B$5:$B$504,$A193,Tasks!$M$5:$M$504,"OVERDUE"))</f>
        <v/>
      </c>
      <c r="O193" s="28" t="str">
        <f aca="false">IF(OR($A193="",K193=0),"",L193/(K193-COUNTIFS(Tasks!$B$5:$B$504,$A193,Tasks!$H$5:$H$504,"Cancelled")))</f>
        <v/>
      </c>
      <c r="P193" s="25"/>
      <c r="Q193" s="25"/>
    </row>
    <row r="194" customFormat="false" ht="15" hidden="false" customHeight="false" outlineLevel="0" collapsed="false">
      <c r="A194" s="25"/>
      <c r="B194" s="25"/>
      <c r="C194" s="25"/>
      <c r="D194" s="25"/>
      <c r="E194" s="25"/>
      <c r="F194" s="25"/>
      <c r="G194" s="25"/>
      <c r="H194" s="26"/>
      <c r="I194" s="26"/>
      <c r="J194" s="25"/>
      <c r="K194" s="27" t="str">
        <f aca="false">IF($A194="","",COUNTIF(Tasks!$B$5:$B$504,$A194))</f>
        <v/>
      </c>
      <c r="L194" s="27" t="str">
        <f aca="false">IF($A194="","",COUNTIFS(Tasks!$B$5:$B$504,$A194,Tasks!$H$5:$H$504,"Done"))</f>
        <v/>
      </c>
      <c r="M194" s="27" t="str">
        <f aca="false">IF($A194="","",K194-L194-COUNTIFS(Tasks!$B$5:$B$504,$A194,Tasks!$H$5:$H$504,"Cancelled"))</f>
        <v/>
      </c>
      <c r="N194" s="27" t="str">
        <f aca="false">IF($A194="","",COUNTIFS(Tasks!$B$5:$B$504,$A194,Tasks!$M$5:$M$504,"OVERDUE"))</f>
        <v/>
      </c>
      <c r="O194" s="28" t="str">
        <f aca="false">IF(OR($A194="",K194=0),"",L194/(K194-COUNTIFS(Tasks!$B$5:$B$504,$A194,Tasks!$H$5:$H$504,"Cancelled")))</f>
        <v/>
      </c>
      <c r="P194" s="25"/>
      <c r="Q194" s="25"/>
    </row>
    <row r="195" customFormat="false" ht="15" hidden="false" customHeight="false" outlineLevel="0" collapsed="false">
      <c r="A195" s="25"/>
      <c r="B195" s="25"/>
      <c r="C195" s="25"/>
      <c r="D195" s="25"/>
      <c r="E195" s="25"/>
      <c r="F195" s="25"/>
      <c r="G195" s="25"/>
      <c r="H195" s="26"/>
      <c r="I195" s="26"/>
      <c r="J195" s="25"/>
      <c r="K195" s="27" t="str">
        <f aca="false">IF($A195="","",COUNTIF(Tasks!$B$5:$B$504,$A195))</f>
        <v/>
      </c>
      <c r="L195" s="27" t="str">
        <f aca="false">IF($A195="","",COUNTIFS(Tasks!$B$5:$B$504,$A195,Tasks!$H$5:$H$504,"Done"))</f>
        <v/>
      </c>
      <c r="M195" s="27" t="str">
        <f aca="false">IF($A195="","",K195-L195-COUNTIFS(Tasks!$B$5:$B$504,$A195,Tasks!$H$5:$H$504,"Cancelled"))</f>
        <v/>
      </c>
      <c r="N195" s="27" t="str">
        <f aca="false">IF($A195="","",COUNTIFS(Tasks!$B$5:$B$504,$A195,Tasks!$M$5:$M$504,"OVERDUE"))</f>
        <v/>
      </c>
      <c r="O195" s="28" t="str">
        <f aca="false">IF(OR($A195="",K195=0),"",L195/(K195-COUNTIFS(Tasks!$B$5:$B$504,$A195,Tasks!$H$5:$H$504,"Cancelled")))</f>
        <v/>
      </c>
      <c r="P195" s="25"/>
      <c r="Q195" s="25"/>
    </row>
    <row r="196" customFormat="false" ht="15" hidden="false" customHeight="false" outlineLevel="0" collapsed="false">
      <c r="A196" s="25"/>
      <c r="B196" s="25"/>
      <c r="C196" s="25"/>
      <c r="D196" s="25"/>
      <c r="E196" s="25"/>
      <c r="F196" s="25"/>
      <c r="G196" s="25"/>
      <c r="H196" s="26"/>
      <c r="I196" s="26"/>
      <c r="J196" s="25"/>
      <c r="K196" s="27" t="str">
        <f aca="false">IF($A196="","",COUNTIF(Tasks!$B$5:$B$504,$A196))</f>
        <v/>
      </c>
      <c r="L196" s="27" t="str">
        <f aca="false">IF($A196="","",COUNTIFS(Tasks!$B$5:$B$504,$A196,Tasks!$H$5:$H$504,"Done"))</f>
        <v/>
      </c>
      <c r="M196" s="27" t="str">
        <f aca="false">IF($A196="","",K196-L196-COUNTIFS(Tasks!$B$5:$B$504,$A196,Tasks!$H$5:$H$504,"Cancelled"))</f>
        <v/>
      </c>
      <c r="N196" s="27" t="str">
        <f aca="false">IF($A196="","",COUNTIFS(Tasks!$B$5:$B$504,$A196,Tasks!$M$5:$M$504,"OVERDUE"))</f>
        <v/>
      </c>
      <c r="O196" s="28" t="str">
        <f aca="false">IF(OR($A196="",K196=0),"",L196/(K196-COUNTIFS(Tasks!$B$5:$B$504,$A196,Tasks!$H$5:$H$504,"Cancelled")))</f>
        <v/>
      </c>
      <c r="P196" s="25"/>
      <c r="Q196" s="25"/>
    </row>
    <row r="197" customFormat="false" ht="15" hidden="false" customHeight="false" outlineLevel="0" collapsed="false">
      <c r="A197" s="25"/>
      <c r="B197" s="25"/>
      <c r="C197" s="25"/>
      <c r="D197" s="25"/>
      <c r="E197" s="25"/>
      <c r="F197" s="25"/>
      <c r="G197" s="25"/>
      <c r="H197" s="26"/>
      <c r="I197" s="26"/>
      <c r="J197" s="25"/>
      <c r="K197" s="27" t="str">
        <f aca="false">IF($A197="","",COUNTIF(Tasks!$B$5:$B$504,$A197))</f>
        <v/>
      </c>
      <c r="L197" s="27" t="str">
        <f aca="false">IF($A197="","",COUNTIFS(Tasks!$B$5:$B$504,$A197,Tasks!$H$5:$H$504,"Done"))</f>
        <v/>
      </c>
      <c r="M197" s="27" t="str">
        <f aca="false">IF($A197="","",K197-L197-COUNTIFS(Tasks!$B$5:$B$504,$A197,Tasks!$H$5:$H$504,"Cancelled"))</f>
        <v/>
      </c>
      <c r="N197" s="27" t="str">
        <f aca="false">IF($A197="","",COUNTIFS(Tasks!$B$5:$B$504,$A197,Tasks!$M$5:$M$504,"OVERDUE"))</f>
        <v/>
      </c>
      <c r="O197" s="28" t="str">
        <f aca="false">IF(OR($A197="",K197=0),"",L197/(K197-COUNTIFS(Tasks!$B$5:$B$504,$A197,Tasks!$H$5:$H$504,"Cancelled")))</f>
        <v/>
      </c>
      <c r="P197" s="25"/>
      <c r="Q197" s="25"/>
    </row>
    <row r="198" customFormat="false" ht="15" hidden="false" customHeight="false" outlineLevel="0" collapsed="false">
      <c r="A198" s="25"/>
      <c r="B198" s="25"/>
      <c r="C198" s="25"/>
      <c r="D198" s="25"/>
      <c r="E198" s="25"/>
      <c r="F198" s="25"/>
      <c r="G198" s="25"/>
      <c r="H198" s="26"/>
      <c r="I198" s="26"/>
      <c r="J198" s="25"/>
      <c r="K198" s="27" t="str">
        <f aca="false">IF($A198="","",COUNTIF(Tasks!$B$5:$B$504,$A198))</f>
        <v/>
      </c>
      <c r="L198" s="27" t="str">
        <f aca="false">IF($A198="","",COUNTIFS(Tasks!$B$5:$B$504,$A198,Tasks!$H$5:$H$504,"Done"))</f>
        <v/>
      </c>
      <c r="M198" s="27" t="str">
        <f aca="false">IF($A198="","",K198-L198-COUNTIFS(Tasks!$B$5:$B$504,$A198,Tasks!$H$5:$H$504,"Cancelled"))</f>
        <v/>
      </c>
      <c r="N198" s="27" t="str">
        <f aca="false">IF($A198="","",COUNTIFS(Tasks!$B$5:$B$504,$A198,Tasks!$M$5:$M$504,"OVERDUE"))</f>
        <v/>
      </c>
      <c r="O198" s="28" t="str">
        <f aca="false">IF(OR($A198="",K198=0),"",L198/(K198-COUNTIFS(Tasks!$B$5:$B$504,$A198,Tasks!$H$5:$H$504,"Cancelled")))</f>
        <v/>
      </c>
      <c r="P198" s="25"/>
      <c r="Q198" s="25"/>
    </row>
    <row r="199" customFormat="false" ht="15" hidden="false" customHeight="false" outlineLevel="0" collapsed="false">
      <c r="A199" s="25"/>
      <c r="B199" s="25"/>
      <c r="C199" s="25"/>
      <c r="D199" s="25"/>
      <c r="E199" s="25"/>
      <c r="F199" s="25"/>
      <c r="G199" s="25"/>
      <c r="H199" s="26"/>
      <c r="I199" s="26"/>
      <c r="J199" s="25"/>
      <c r="K199" s="27" t="str">
        <f aca="false">IF($A199="","",COUNTIF(Tasks!$B$5:$B$504,$A199))</f>
        <v/>
      </c>
      <c r="L199" s="27" t="str">
        <f aca="false">IF($A199="","",COUNTIFS(Tasks!$B$5:$B$504,$A199,Tasks!$H$5:$H$504,"Done"))</f>
        <v/>
      </c>
      <c r="M199" s="27" t="str">
        <f aca="false">IF($A199="","",K199-L199-COUNTIFS(Tasks!$B$5:$B$504,$A199,Tasks!$H$5:$H$504,"Cancelled"))</f>
        <v/>
      </c>
      <c r="N199" s="27" t="str">
        <f aca="false">IF($A199="","",COUNTIFS(Tasks!$B$5:$B$504,$A199,Tasks!$M$5:$M$504,"OVERDUE"))</f>
        <v/>
      </c>
      <c r="O199" s="28" t="str">
        <f aca="false">IF(OR($A199="",K199=0),"",L199/(K199-COUNTIFS(Tasks!$B$5:$B$504,$A199,Tasks!$H$5:$H$504,"Cancelled")))</f>
        <v/>
      </c>
      <c r="P199" s="25"/>
      <c r="Q199" s="25"/>
    </row>
    <row r="200" customFormat="false" ht="15" hidden="false" customHeight="false" outlineLevel="0" collapsed="false">
      <c r="A200" s="25"/>
      <c r="B200" s="25"/>
      <c r="C200" s="25"/>
      <c r="D200" s="25"/>
      <c r="E200" s="25"/>
      <c r="F200" s="25"/>
      <c r="G200" s="25"/>
      <c r="H200" s="26"/>
      <c r="I200" s="26"/>
      <c r="J200" s="25"/>
      <c r="K200" s="27" t="str">
        <f aca="false">IF($A200="","",COUNTIF(Tasks!$B$5:$B$504,$A200))</f>
        <v/>
      </c>
      <c r="L200" s="27" t="str">
        <f aca="false">IF($A200="","",COUNTIFS(Tasks!$B$5:$B$504,$A200,Tasks!$H$5:$H$504,"Done"))</f>
        <v/>
      </c>
      <c r="M200" s="27" t="str">
        <f aca="false">IF($A200="","",K200-L200-COUNTIFS(Tasks!$B$5:$B$504,$A200,Tasks!$H$5:$H$504,"Cancelled"))</f>
        <v/>
      </c>
      <c r="N200" s="27" t="str">
        <f aca="false">IF($A200="","",COUNTIFS(Tasks!$B$5:$B$504,$A200,Tasks!$M$5:$M$504,"OVERDUE"))</f>
        <v/>
      </c>
      <c r="O200" s="28" t="str">
        <f aca="false">IF(OR($A200="",K200=0),"",L200/(K200-COUNTIFS(Tasks!$B$5:$B$504,$A200,Tasks!$H$5:$H$504,"Cancelled")))</f>
        <v/>
      </c>
      <c r="P200" s="25"/>
      <c r="Q200" s="25"/>
    </row>
    <row r="201" customFormat="false" ht="15" hidden="false" customHeight="false" outlineLevel="0" collapsed="false">
      <c r="A201" s="25"/>
      <c r="B201" s="25"/>
      <c r="C201" s="25"/>
      <c r="D201" s="25"/>
      <c r="E201" s="25"/>
      <c r="F201" s="25"/>
      <c r="G201" s="25"/>
      <c r="H201" s="26"/>
      <c r="I201" s="26"/>
      <c r="J201" s="25"/>
      <c r="K201" s="27" t="str">
        <f aca="false">IF($A201="","",COUNTIF(Tasks!$B$5:$B$504,$A201))</f>
        <v/>
      </c>
      <c r="L201" s="27" t="str">
        <f aca="false">IF($A201="","",COUNTIFS(Tasks!$B$5:$B$504,$A201,Tasks!$H$5:$H$504,"Done"))</f>
        <v/>
      </c>
      <c r="M201" s="27" t="str">
        <f aca="false">IF($A201="","",K201-L201-COUNTIFS(Tasks!$B$5:$B$504,$A201,Tasks!$H$5:$H$504,"Cancelled"))</f>
        <v/>
      </c>
      <c r="N201" s="27" t="str">
        <f aca="false">IF($A201="","",COUNTIFS(Tasks!$B$5:$B$504,$A201,Tasks!$M$5:$M$504,"OVERDUE"))</f>
        <v/>
      </c>
      <c r="O201" s="28" t="str">
        <f aca="false">IF(OR($A201="",K201=0),"",L201/(K201-COUNTIFS(Tasks!$B$5:$B$504,$A201,Tasks!$H$5:$H$504,"Cancelled")))</f>
        <v/>
      </c>
      <c r="P201" s="25"/>
      <c r="Q201" s="25"/>
    </row>
    <row r="202" customFormat="false" ht="15" hidden="false" customHeight="false" outlineLevel="0" collapsed="false">
      <c r="A202" s="25"/>
      <c r="B202" s="25"/>
      <c r="C202" s="25"/>
      <c r="D202" s="25"/>
      <c r="E202" s="25"/>
      <c r="F202" s="25"/>
      <c r="G202" s="25"/>
      <c r="H202" s="26"/>
      <c r="I202" s="26"/>
      <c r="J202" s="25"/>
      <c r="K202" s="27" t="str">
        <f aca="false">IF($A202="","",COUNTIF(Tasks!$B$5:$B$504,$A202))</f>
        <v/>
      </c>
      <c r="L202" s="27" t="str">
        <f aca="false">IF($A202="","",COUNTIFS(Tasks!$B$5:$B$504,$A202,Tasks!$H$5:$H$504,"Done"))</f>
        <v/>
      </c>
      <c r="M202" s="27" t="str">
        <f aca="false">IF($A202="","",K202-L202-COUNTIFS(Tasks!$B$5:$B$504,$A202,Tasks!$H$5:$H$504,"Cancelled"))</f>
        <v/>
      </c>
      <c r="N202" s="27" t="str">
        <f aca="false">IF($A202="","",COUNTIFS(Tasks!$B$5:$B$504,$A202,Tasks!$M$5:$M$504,"OVERDUE"))</f>
        <v/>
      </c>
      <c r="O202" s="28" t="str">
        <f aca="false">IF(OR($A202="",K202=0),"",L202/(K202-COUNTIFS(Tasks!$B$5:$B$504,$A202,Tasks!$H$5:$H$504,"Cancelled")))</f>
        <v/>
      </c>
      <c r="P202" s="25"/>
      <c r="Q202" s="25"/>
    </row>
    <row r="203" customFormat="false" ht="15" hidden="false" customHeight="false" outlineLevel="0" collapsed="false">
      <c r="A203" s="25"/>
      <c r="B203" s="25"/>
      <c r="C203" s="25"/>
      <c r="D203" s="25"/>
      <c r="E203" s="25"/>
      <c r="F203" s="25"/>
      <c r="G203" s="25"/>
      <c r="H203" s="26"/>
      <c r="I203" s="26"/>
      <c r="J203" s="25"/>
      <c r="K203" s="27" t="str">
        <f aca="false">IF($A203="","",COUNTIF(Tasks!$B$5:$B$504,$A203))</f>
        <v/>
      </c>
      <c r="L203" s="27" t="str">
        <f aca="false">IF($A203="","",COUNTIFS(Tasks!$B$5:$B$504,$A203,Tasks!$H$5:$H$504,"Done"))</f>
        <v/>
      </c>
      <c r="M203" s="27" t="str">
        <f aca="false">IF($A203="","",K203-L203-COUNTIFS(Tasks!$B$5:$B$504,$A203,Tasks!$H$5:$H$504,"Cancelled"))</f>
        <v/>
      </c>
      <c r="N203" s="27" t="str">
        <f aca="false">IF($A203="","",COUNTIFS(Tasks!$B$5:$B$504,$A203,Tasks!$M$5:$M$504,"OVERDUE"))</f>
        <v/>
      </c>
      <c r="O203" s="28" t="str">
        <f aca="false">IF(OR($A203="",K203=0),"",L203/(K203-COUNTIFS(Tasks!$B$5:$B$504,$A203,Tasks!$H$5:$H$504,"Cancelled")))</f>
        <v/>
      </c>
      <c r="P203" s="25"/>
      <c r="Q203" s="25"/>
    </row>
    <row r="204" customFormat="false" ht="15" hidden="false" customHeight="false" outlineLevel="0" collapsed="false">
      <c r="A204" s="25"/>
      <c r="B204" s="25"/>
      <c r="C204" s="25"/>
      <c r="D204" s="25"/>
      <c r="E204" s="25"/>
      <c r="F204" s="25"/>
      <c r="G204" s="25"/>
      <c r="H204" s="26"/>
      <c r="I204" s="26"/>
      <c r="J204" s="25"/>
      <c r="K204" s="27" t="str">
        <f aca="false">IF($A204="","",COUNTIF(Tasks!$B$5:$B$504,$A204))</f>
        <v/>
      </c>
      <c r="L204" s="27" t="str">
        <f aca="false">IF($A204="","",COUNTIFS(Tasks!$B$5:$B$504,$A204,Tasks!$H$5:$H$504,"Done"))</f>
        <v/>
      </c>
      <c r="M204" s="27" t="str">
        <f aca="false">IF($A204="","",K204-L204-COUNTIFS(Tasks!$B$5:$B$504,$A204,Tasks!$H$5:$H$504,"Cancelled"))</f>
        <v/>
      </c>
      <c r="N204" s="27" t="str">
        <f aca="false">IF($A204="","",COUNTIFS(Tasks!$B$5:$B$504,$A204,Tasks!$M$5:$M$504,"OVERDUE"))</f>
        <v/>
      </c>
      <c r="O204" s="28" t="str">
        <f aca="false">IF(OR($A204="",K204=0),"",L204/(K204-COUNTIFS(Tasks!$B$5:$B$504,$A204,Tasks!$H$5:$H$504,"Cancelled")))</f>
        <v/>
      </c>
      <c r="P204" s="25"/>
      <c r="Q204" s="25"/>
    </row>
  </sheetData>
  <autoFilter ref="A4:Q204"/>
  <conditionalFormatting sqref="E5:E204">
    <cfRule type="cellIs" priority="2" operator="equal" aboveAverage="0" equalAverage="0" bottom="0" percent="0" rank="0" text="" dxfId="5">
      <formula>"Critical"</formula>
    </cfRule>
    <cfRule type="cellIs" priority="3" operator="equal" aboveAverage="0" equalAverage="0" bottom="0" percent="0" rank="0" text="" dxfId="17">
      <formula>"High"</formula>
    </cfRule>
  </conditionalFormatting>
  <conditionalFormatting sqref="J5:J204">
    <cfRule type="cellIs" priority="4" operator="equal" aboveAverage="0" equalAverage="0" bottom="0" percent="0" rank="0" text="" dxfId="3">
      <formula>"Green"</formula>
    </cfRule>
    <cfRule type="cellIs" priority="5" operator="equal" aboveAverage="0" equalAverage="0" bottom="0" percent="0" rank="0" text="" dxfId="1">
      <formula>"Amber"</formula>
    </cfRule>
    <cfRule type="cellIs" priority="6" operator="equal" aboveAverage="0" equalAverage="0" bottom="0" percent="0" rank="0" text="" dxfId="4">
      <formula>"Red"</formula>
    </cfRule>
  </conditionalFormatting>
  <conditionalFormatting sqref="F5:F204">
    <cfRule type="cellIs" priority="7" operator="equal" aboveAverage="0" equalAverage="0" bottom="0" percent="0" rank="0" text="" dxfId="18">
      <formula>"Closed"</formula>
    </cfRule>
    <cfRule type="cellIs" priority="8" operator="equal" aboveAverage="0" equalAverage="0" bottom="0" percent="0" rank="0" text="" dxfId="19">
      <formula>"On Hold"</formula>
    </cfRule>
  </conditionalFormatting>
  <conditionalFormatting sqref="N5:N204">
    <cfRule type="cellIs" priority="9" operator="greaterThan" aboveAverage="0" equalAverage="0" bottom="0" percent="0" rank="0" text="" dxfId="0">
      <formula>0</formula>
    </cfRule>
  </conditionalFormatting>
  <conditionalFormatting sqref="I5:I204">
    <cfRule type="expression" priority="10" aboveAverage="0" equalAverage="0" bottom="0" percent="0" rank="0" text="" dxfId="5">
      <formula>AND($I5&lt;&gt;"",$I5&lt;TODAY(),$F5&lt;&gt;"Closed")</formula>
    </cfRule>
  </conditionalFormatting>
  <dataValidations count="5">
    <dataValidation allowBlank="true" error="Pick a value from the dropdown (edit the Lists sheet to add new ones)." errorStyle="stop" errorTitle="Invalid entry" operator="between" showDropDown="false" showErrorMessage="true" showInputMessage="false" sqref="D5:D204" type="list">
      <formula1>Lists!$D$4:$D$8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E5:E204" type="list">
      <formula1>Lists!$B$4:$B$7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F5:F204" type="list">
      <formula1>Lists!$C$4:$C$9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G5:G204" type="list">
      <formula1>Team!$A$5:$A$54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J5:J204" type="list">
      <formula1>Lists!$G$4:$G$6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1" min="8" style="0" width="12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30"/>
    <col collapsed="false" customWidth="true" hidden="false" outlineLevel="0" max="15" min="15" style="0" width="12"/>
    <col collapsed="false" customWidth="true" hidden="false" outlineLevel="0" max="16" min="16" style="0" width="36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0" hidden="false" customHeight="true" outlineLevel="0" collapsed="false">
      <c r="A4" s="24" t="s">
        <v>129</v>
      </c>
      <c r="B4" s="24" t="s">
        <v>83</v>
      </c>
      <c r="C4" s="24" t="s">
        <v>91</v>
      </c>
      <c r="D4" s="24" t="s">
        <v>130</v>
      </c>
      <c r="E4" s="24" t="s">
        <v>131</v>
      </c>
      <c r="F4" s="24" t="s">
        <v>132</v>
      </c>
      <c r="G4" s="24" t="s">
        <v>94</v>
      </c>
      <c r="H4" s="24" t="s">
        <v>52</v>
      </c>
      <c r="I4" s="24" t="s">
        <v>133</v>
      </c>
      <c r="J4" s="24" t="s">
        <v>134</v>
      </c>
      <c r="K4" s="24" t="s">
        <v>135</v>
      </c>
      <c r="L4" s="24" t="s">
        <v>136</v>
      </c>
      <c r="M4" s="24" t="s">
        <v>137</v>
      </c>
      <c r="N4" s="24" t="s">
        <v>138</v>
      </c>
      <c r="O4" s="24" t="s">
        <v>139</v>
      </c>
      <c r="P4" s="24" t="s">
        <v>140</v>
      </c>
    </row>
    <row r="5" customFormat="false" ht="15" hidden="false" customHeight="false" outlineLevel="0" collapsed="false">
      <c r="A5" s="25" t="s">
        <v>141</v>
      </c>
      <c r="B5" s="25" t="s">
        <v>99</v>
      </c>
      <c r="C5" s="29" t="str">
        <f aca="false">IF($B5="","",IFERROR(INDEX(Projects!$B$5:$B$204,MATCH($B5,Projects!$A$5:$A$204,0)),"Unknown project ID"))</f>
        <v>SAP to Salesforce order sync (ACE 12)</v>
      </c>
      <c r="D5" s="25" t="s">
        <v>142</v>
      </c>
      <c r="E5" s="25" t="s">
        <v>143</v>
      </c>
      <c r="F5" s="25" t="s">
        <v>104</v>
      </c>
      <c r="G5" s="25" t="s">
        <v>103</v>
      </c>
      <c r="H5" s="25" t="s">
        <v>62</v>
      </c>
      <c r="I5" s="26" t="n">
        <v>46269</v>
      </c>
      <c r="J5" s="26" t="n">
        <v>46281</v>
      </c>
      <c r="K5" s="26"/>
      <c r="L5" s="30" t="n">
        <f aca="true">IF(OR($J5="",$H5="Done",$H5="Cancelled"),"",$J5-TODAY())</f>
        <v>2</v>
      </c>
      <c r="M5" s="29" t="str">
        <f aca="true">IF(AND($J5&lt;&gt;"",$H5&lt;&gt;"Done",$H5&lt;&gt;"Cancelled",$J5&lt;TODAY()),"OVERDUE","")</f>
        <v/>
      </c>
      <c r="N5" s="25"/>
      <c r="O5" s="26" t="n">
        <v>46278</v>
      </c>
      <c r="P5" s="25" t="s">
        <v>144</v>
      </c>
    </row>
    <row r="6" customFormat="false" ht="15" hidden="false" customHeight="false" outlineLevel="0" collapsed="false">
      <c r="A6" s="25" t="s">
        <v>145</v>
      </c>
      <c r="B6" s="25" t="s">
        <v>99</v>
      </c>
      <c r="C6" s="29" t="str">
        <f aca="false">IF($B6="","",IFERROR(INDEX(Projects!$B$5:$B$204,MATCH($B6,Projects!$A$5:$A$204,0)),"Unknown project ID"))</f>
        <v>SAP to Salesforce order sync (ACE 12)</v>
      </c>
      <c r="D6" s="25" t="s">
        <v>146</v>
      </c>
      <c r="E6" s="25" t="s">
        <v>147</v>
      </c>
      <c r="F6" s="25" t="s">
        <v>148</v>
      </c>
      <c r="G6" s="25" t="s">
        <v>103</v>
      </c>
      <c r="H6" s="25" t="s">
        <v>67</v>
      </c>
      <c r="I6" s="26" t="n">
        <v>46249</v>
      </c>
      <c r="J6" s="26" t="n">
        <v>46271</v>
      </c>
      <c r="K6" s="26" t="n">
        <v>46270</v>
      </c>
      <c r="L6" s="30" t="str">
        <f aca="true">IF(OR($J6="",$H6="Done",$H6="Cancelled"),"",$J6-TODAY())</f>
        <v/>
      </c>
      <c r="M6" s="29" t="str">
        <f aca="true">IF(AND($J6&lt;&gt;"",$H6&lt;&gt;"Done",$H6&lt;&gt;"Cancelled",$J6&lt;TODAY()),"OVERDUE","")</f>
        <v/>
      </c>
      <c r="N6" s="25"/>
      <c r="O6" s="26" t="n">
        <v>46270</v>
      </c>
      <c r="P6" s="25"/>
    </row>
    <row r="7" customFormat="false" ht="15" hidden="false" customHeight="false" outlineLevel="0" collapsed="false">
      <c r="A7" s="25" t="s">
        <v>149</v>
      </c>
      <c r="B7" s="25" t="s">
        <v>99</v>
      </c>
      <c r="C7" s="29" t="str">
        <f aca="false">IF($B7="","",IFERROR(INDEX(Projects!$B$5:$B$204,MATCH($B7,Projects!$A$5:$A$204,0)),"Unknown project ID"))</f>
        <v>SAP to Salesforce order sync (ACE 12)</v>
      </c>
      <c r="D7" s="25" t="s">
        <v>150</v>
      </c>
      <c r="E7" s="25" t="s">
        <v>147</v>
      </c>
      <c r="F7" s="25" t="s">
        <v>151</v>
      </c>
      <c r="G7" s="25" t="s">
        <v>103</v>
      </c>
      <c r="H7" s="25" t="s">
        <v>65</v>
      </c>
      <c r="I7" s="26" t="n">
        <v>46264</v>
      </c>
      <c r="J7" s="26" t="n">
        <v>46277</v>
      </c>
      <c r="K7" s="26"/>
      <c r="L7" s="30" t="n">
        <f aca="true">IF(OR($J7="",$H7="Done",$H7="Cancelled"),"",$J7-TODAY())</f>
        <v>-2</v>
      </c>
      <c r="M7" s="29" t="str">
        <f aca="true">IF(AND($J7&lt;&gt;"",$H7&lt;&gt;"Done",$H7&lt;&gt;"Cancelled",$J7&lt;TODAY()),"OVERDUE","")</f>
        <v>OVERDUE</v>
      </c>
      <c r="N7" s="25" t="s">
        <v>152</v>
      </c>
      <c r="O7" s="26" t="n">
        <v>46276</v>
      </c>
      <c r="P7" s="25"/>
    </row>
    <row r="8" customFormat="false" ht="15" hidden="false" customHeight="false" outlineLevel="0" collapsed="false">
      <c r="A8" s="25" t="s">
        <v>153</v>
      </c>
      <c r="B8" s="25" t="s">
        <v>99</v>
      </c>
      <c r="C8" s="29" t="str">
        <f aca="false">IF($B8="","",IFERROR(INDEX(Projects!$B$5:$B$204,MATCH($B8,Projects!$A$5:$A$204,0)),"Unknown project ID"))</f>
        <v>SAP to Salesforce order sync (ACE 12)</v>
      </c>
      <c r="D8" s="25" t="s">
        <v>154</v>
      </c>
      <c r="E8" s="25" t="s">
        <v>155</v>
      </c>
      <c r="F8" s="25" t="s">
        <v>156</v>
      </c>
      <c r="G8" s="25" t="s">
        <v>117</v>
      </c>
      <c r="H8" s="25" t="s">
        <v>62</v>
      </c>
      <c r="I8" s="26" t="n">
        <v>46272</v>
      </c>
      <c r="J8" s="26" t="n">
        <v>46289</v>
      </c>
      <c r="K8" s="26"/>
      <c r="L8" s="30" t="n">
        <f aca="true">IF(OR($J8="",$H8="Done",$H8="Cancelled"),"",$J8-TODAY())</f>
        <v>10</v>
      </c>
      <c r="M8" s="29" t="str">
        <f aca="true">IF(AND($J8&lt;&gt;"",$H8&lt;&gt;"Done",$H8&lt;&gt;"Cancelled",$J8&lt;TODAY()),"OVERDUE","")</f>
        <v/>
      </c>
      <c r="N8" s="25"/>
      <c r="O8" s="26" t="n">
        <v>46279</v>
      </c>
      <c r="P8" s="25"/>
    </row>
    <row r="9" customFormat="false" ht="15" hidden="false" customHeight="false" outlineLevel="0" collapsed="false">
      <c r="A9" s="25" t="s">
        <v>157</v>
      </c>
      <c r="B9" s="25" t="s">
        <v>107</v>
      </c>
      <c r="C9" s="29" t="str">
        <f aca="false">IF($B9="","",IFERROR(INDEX(Projects!$B$5:$B$204,MATCH($B9,Projects!$A$5:$A$204,0)),"Unknown project ID"))</f>
        <v>ACE 12.0.12 fixpack rollout on AIX 7.3</v>
      </c>
      <c r="D9" s="25" t="s">
        <v>158</v>
      </c>
      <c r="E9" s="25" t="s">
        <v>159</v>
      </c>
      <c r="F9" s="25" t="s">
        <v>118</v>
      </c>
      <c r="G9" s="25" t="s">
        <v>111</v>
      </c>
      <c r="H9" s="25" t="s">
        <v>67</v>
      </c>
      <c r="I9" s="26" t="n">
        <v>46267</v>
      </c>
      <c r="J9" s="26" t="n">
        <v>46274</v>
      </c>
      <c r="K9" s="26" t="n">
        <v>46274</v>
      </c>
      <c r="L9" s="30" t="str">
        <f aca="true">IF(OR($J9="",$H9="Done",$H9="Cancelled"),"",$J9-TODAY())</f>
        <v/>
      </c>
      <c r="M9" s="29" t="str">
        <f aca="true">IF(AND($J9&lt;&gt;"",$H9&lt;&gt;"Done",$H9&lt;&gt;"Cancelled",$J9&lt;TODAY()),"OVERDUE","")</f>
        <v/>
      </c>
      <c r="N9" s="25"/>
      <c r="O9" s="26" t="n">
        <v>46274</v>
      </c>
      <c r="P9" s="25"/>
    </row>
    <row r="10" customFormat="false" ht="15" hidden="false" customHeight="false" outlineLevel="0" collapsed="false">
      <c r="A10" s="25" t="s">
        <v>160</v>
      </c>
      <c r="B10" s="25" t="s">
        <v>107</v>
      </c>
      <c r="C10" s="29" t="str">
        <f aca="false">IF($B10="","",IFERROR(INDEX(Projects!$B$5:$B$204,MATCH($B10,Projects!$A$5:$A$204,0)),"Unknown project ID"))</f>
        <v>ACE 12.0.12 fixpack rollout on AIX 7.3</v>
      </c>
      <c r="D10" s="25" t="s">
        <v>161</v>
      </c>
      <c r="E10" s="25" t="s">
        <v>159</v>
      </c>
      <c r="F10" s="25" t="s">
        <v>148</v>
      </c>
      <c r="G10" s="25" t="s">
        <v>111</v>
      </c>
      <c r="H10" s="25" t="s">
        <v>67</v>
      </c>
      <c r="I10" s="26" t="n">
        <v>46269</v>
      </c>
      <c r="J10" s="26" t="n">
        <v>46276</v>
      </c>
      <c r="K10" s="26" t="n">
        <v>46276</v>
      </c>
      <c r="L10" s="30" t="str">
        <f aca="true">IF(OR($J10="",$H10="Done",$H10="Cancelled"),"",$J10-TODAY())</f>
        <v/>
      </c>
      <c r="M10" s="29" t="str">
        <f aca="true">IF(AND($J10&lt;&gt;"",$H10&lt;&gt;"Done",$H10&lt;&gt;"Cancelled",$J10&lt;TODAY()),"OVERDUE","")</f>
        <v/>
      </c>
      <c r="N10" s="25"/>
      <c r="O10" s="26" t="n">
        <v>46276</v>
      </c>
      <c r="P10" s="25"/>
    </row>
    <row r="11" customFormat="false" ht="15" hidden="false" customHeight="false" outlineLevel="0" collapsed="false">
      <c r="A11" s="25" t="s">
        <v>162</v>
      </c>
      <c r="B11" s="25" t="s">
        <v>107</v>
      </c>
      <c r="C11" s="29" t="str">
        <f aca="false">IF($B11="","",IFERROR(INDEX(Projects!$B$5:$B$204,MATCH($B11,Projects!$A$5:$A$204,0)),"Unknown project ID"))</f>
        <v>ACE 12.0.12 fixpack rollout on AIX 7.3</v>
      </c>
      <c r="D11" s="25" t="s">
        <v>163</v>
      </c>
      <c r="E11" s="25" t="s">
        <v>155</v>
      </c>
      <c r="F11" s="25" t="s">
        <v>156</v>
      </c>
      <c r="G11" s="25" t="s">
        <v>111</v>
      </c>
      <c r="H11" s="25" t="s">
        <v>62</v>
      </c>
      <c r="I11" s="26" t="n">
        <v>46276</v>
      </c>
      <c r="J11" s="26" t="n">
        <v>46283</v>
      </c>
      <c r="K11" s="26"/>
      <c r="L11" s="30" t="n">
        <f aca="true">IF(OR($J11="",$H11="Done",$H11="Cancelled"),"",$J11-TODAY())</f>
        <v>4</v>
      </c>
      <c r="M11" s="29" t="str">
        <f aca="true">IF(AND($J11&lt;&gt;"",$H11&lt;&gt;"Done",$H11&lt;&gt;"Cancelled",$J11&lt;TODAY()),"OVERDUE","")</f>
        <v/>
      </c>
      <c r="N11" s="25"/>
      <c r="O11" s="26" t="n">
        <v>46279</v>
      </c>
      <c r="P11" s="25"/>
    </row>
    <row r="12" customFormat="false" ht="15" hidden="false" customHeight="false" outlineLevel="0" collapsed="false">
      <c r="A12" s="25" t="s">
        <v>164</v>
      </c>
      <c r="B12" s="25" t="s">
        <v>107</v>
      </c>
      <c r="C12" s="29" t="str">
        <f aca="false">IF($B12="","",IFERROR(INDEX(Projects!$B$5:$B$204,MATCH($B12,Projects!$A$5:$A$204,0)),"Unknown project ID"))</f>
        <v>ACE 12.0.12 fixpack rollout on AIX 7.3</v>
      </c>
      <c r="D12" s="25" t="s">
        <v>165</v>
      </c>
      <c r="E12" s="25" t="s">
        <v>166</v>
      </c>
      <c r="F12" s="25" t="s">
        <v>104</v>
      </c>
      <c r="G12" s="25" t="s">
        <v>111</v>
      </c>
      <c r="H12" s="25" t="s">
        <v>61</v>
      </c>
      <c r="I12" s="26" t="n">
        <v>46277</v>
      </c>
      <c r="J12" s="26" t="n">
        <v>46285</v>
      </c>
      <c r="K12" s="26"/>
      <c r="L12" s="30" t="n">
        <f aca="true">IF(OR($J12="",$H12="Done",$H12="Cancelled"),"",$J12-TODAY())</f>
        <v>6</v>
      </c>
      <c r="M12" s="29" t="str">
        <f aca="true">IF(AND($J12&lt;&gt;"",$H12&lt;&gt;"Done",$H12&lt;&gt;"Cancelled",$J12&lt;TODAY()),"OVERDUE","")</f>
        <v/>
      </c>
      <c r="N12" s="25"/>
      <c r="O12" s="26"/>
      <c r="P12" s="25"/>
    </row>
    <row r="13" customFormat="false" ht="15" hidden="false" customHeight="false" outlineLevel="0" collapsed="false">
      <c r="A13" s="25" t="s">
        <v>167</v>
      </c>
      <c r="B13" s="25" t="s">
        <v>114</v>
      </c>
      <c r="C13" s="29" t="str">
        <f aca="false">IF($B13="","",IFERROR(INDEX(Projects!$B$5:$B$204,MATCH($B13,Projects!$A$5:$A$204,0)),"Unknown project ID"))</f>
        <v>MQ cluster consolidation (QM03/QM04)</v>
      </c>
      <c r="D13" s="25" t="s">
        <v>168</v>
      </c>
      <c r="E13" s="25" t="s">
        <v>169</v>
      </c>
      <c r="F13" s="25" t="s">
        <v>118</v>
      </c>
      <c r="G13" s="25" t="s">
        <v>117</v>
      </c>
      <c r="H13" s="25" t="s">
        <v>62</v>
      </c>
      <c r="I13" s="26" t="n">
        <v>46274</v>
      </c>
      <c r="J13" s="26" t="n">
        <v>46291</v>
      </c>
      <c r="K13" s="26"/>
      <c r="L13" s="30" t="n">
        <f aca="true">IF(OR($J13="",$H13="Done",$H13="Cancelled"),"",$J13-TODAY())</f>
        <v>12</v>
      </c>
      <c r="M13" s="29" t="str">
        <f aca="true">IF(AND($J13&lt;&gt;"",$H13&lt;&gt;"Done",$H13&lt;&gt;"Cancelled",$J13&lt;TODAY()),"OVERDUE","")</f>
        <v/>
      </c>
      <c r="N13" s="25"/>
      <c r="O13" s="26" t="n">
        <v>46278</v>
      </c>
      <c r="P13" s="25"/>
    </row>
    <row r="14" customFormat="false" ht="15" hidden="false" customHeight="false" outlineLevel="0" collapsed="false">
      <c r="A14" s="25" t="s">
        <v>170</v>
      </c>
      <c r="B14" s="25" t="s">
        <v>114</v>
      </c>
      <c r="C14" s="29" t="str">
        <f aca="false">IF($B14="","",IFERROR(INDEX(Projects!$B$5:$B$204,MATCH($B14,Projects!$A$5:$A$204,0)),"Unknown project ID"))</f>
        <v>MQ cluster consolidation (QM03/QM04)</v>
      </c>
      <c r="D14" s="25" t="s">
        <v>171</v>
      </c>
      <c r="E14" s="25" t="s">
        <v>172</v>
      </c>
      <c r="F14" s="25" t="s">
        <v>104</v>
      </c>
      <c r="G14" s="25" t="s">
        <v>117</v>
      </c>
      <c r="H14" s="25" t="s">
        <v>61</v>
      </c>
      <c r="I14" s="26" t="n">
        <v>46274</v>
      </c>
      <c r="J14" s="26" t="n">
        <v>46299</v>
      </c>
      <c r="K14" s="26"/>
      <c r="L14" s="30" t="n">
        <f aca="true">IF(OR($J14="",$H14="Done",$H14="Cancelled"),"",$J14-TODAY())</f>
        <v>20</v>
      </c>
      <c r="M14" s="29" t="str">
        <f aca="true">IF(AND($J14&lt;&gt;"",$H14&lt;&gt;"Done",$H14&lt;&gt;"Cancelled",$J14&lt;TODAY()),"OVERDUE","")</f>
        <v/>
      </c>
      <c r="N14" s="25"/>
      <c r="O14" s="26"/>
      <c r="P14" s="25"/>
    </row>
    <row r="15" customFormat="false" ht="15" hidden="false" customHeight="false" outlineLevel="0" collapsed="false">
      <c r="A15" s="25" t="s">
        <v>173</v>
      </c>
      <c r="B15" s="25" t="s">
        <v>121</v>
      </c>
      <c r="C15" s="29" t="str">
        <f aca="false">IF($B15="","",IFERROR(INDEX(Projects!$B$5:$B$204,MATCH($B15,Projects!$A$5:$A$204,0)),"Unknown project ID"))</f>
        <v>Payments REST API via NGINX gateway</v>
      </c>
      <c r="D15" s="25" t="s">
        <v>174</v>
      </c>
      <c r="E15" s="25" t="s">
        <v>166</v>
      </c>
      <c r="F15" s="25" t="s">
        <v>104</v>
      </c>
      <c r="G15" s="25" t="s">
        <v>103</v>
      </c>
      <c r="H15" s="25" t="s">
        <v>65</v>
      </c>
      <c r="I15" s="26" t="n">
        <v>46249</v>
      </c>
      <c r="J15" s="26" t="n">
        <v>46265</v>
      </c>
      <c r="K15" s="26"/>
      <c r="L15" s="30" t="n">
        <f aca="true">IF(OR($J15="",$H15="Done",$H15="Cancelled"),"",$J15-TODAY())</f>
        <v>-14</v>
      </c>
      <c r="M15" s="29" t="str">
        <f aca="true">IF(AND($J15&lt;&gt;"",$H15&lt;&gt;"Done",$H15&lt;&gt;"Cancelled",$J15&lt;TODAY()),"OVERDUE","")</f>
        <v>OVERDUE</v>
      </c>
      <c r="N15" s="25" t="s">
        <v>175</v>
      </c>
      <c r="O15" s="26" t="n">
        <v>46272</v>
      </c>
      <c r="P15" s="25" t="s">
        <v>176</v>
      </c>
    </row>
    <row r="16" customFormat="false" ht="15" hidden="false" customHeight="false" outlineLevel="0" collapsed="false">
      <c r="A16" s="25" t="s">
        <v>177</v>
      </c>
      <c r="B16" s="25" t="s">
        <v>121</v>
      </c>
      <c r="C16" s="29" t="str">
        <f aca="false">IF($B16="","",IFERROR(INDEX(Projects!$B$5:$B$204,MATCH($B16,Projects!$A$5:$A$204,0)),"Unknown project ID"))</f>
        <v>Payments REST API via NGINX gateway</v>
      </c>
      <c r="D16" s="25" t="s">
        <v>178</v>
      </c>
      <c r="E16" s="25" t="s">
        <v>147</v>
      </c>
      <c r="F16" s="25" t="s">
        <v>151</v>
      </c>
      <c r="G16" s="25" t="s">
        <v>117</v>
      </c>
      <c r="H16" s="25" t="s">
        <v>63</v>
      </c>
      <c r="I16" s="26" t="n">
        <v>46254</v>
      </c>
      <c r="J16" s="26" t="n">
        <v>46309</v>
      </c>
      <c r="K16" s="26"/>
      <c r="L16" s="30" t="n">
        <f aca="true">IF(OR($J16="",$H16="Done",$H16="Cancelled"),"",$J16-TODAY())</f>
        <v>30</v>
      </c>
      <c r="M16" s="29" t="str">
        <f aca="true">IF(AND($J16&lt;&gt;"",$H16&lt;&gt;"Done",$H16&lt;&gt;"Cancelled",$J16&lt;TODAY()),"OVERDUE","")</f>
        <v/>
      </c>
      <c r="N16" s="25" t="s">
        <v>179</v>
      </c>
      <c r="O16" s="26" t="n">
        <v>46272</v>
      </c>
      <c r="P16" s="25"/>
    </row>
    <row r="17" customFormat="false" ht="15" hidden="false" customHeight="false" outlineLevel="0" collapsed="false">
      <c r="A17" s="25" t="s">
        <v>180</v>
      </c>
      <c r="B17" s="25"/>
      <c r="C17" s="29" t="str">
        <f aca="false">IF($B17="","",IFERROR(INDEX(Projects!$B$5:$B$204,MATCH($B17,Projects!$A$5:$A$204,0)),"Unknown project ID"))</f>
        <v/>
      </c>
      <c r="D17" s="25" t="s">
        <v>181</v>
      </c>
      <c r="E17" s="25" t="s">
        <v>166</v>
      </c>
      <c r="F17" s="25" t="s">
        <v>104</v>
      </c>
      <c r="G17" s="25" t="s">
        <v>117</v>
      </c>
      <c r="H17" s="25" t="s">
        <v>61</v>
      </c>
      <c r="I17" s="26" t="n">
        <v>46279</v>
      </c>
      <c r="J17" s="26" t="n">
        <v>46284</v>
      </c>
      <c r="K17" s="26"/>
      <c r="L17" s="30" t="n">
        <f aca="true">IF(OR($J17="",$H17="Done",$H17="Cancelled"),"",$J17-TODAY())</f>
        <v>5</v>
      </c>
      <c r="M17" s="29" t="str">
        <f aca="true">IF(AND($J17&lt;&gt;"",$H17&lt;&gt;"Done",$H17&lt;&gt;"Cancelled",$J17&lt;TODAY()),"OVERDUE","")</f>
        <v/>
      </c>
      <c r="N17" s="25"/>
      <c r="O17" s="26"/>
      <c r="P17" s="25" t="s">
        <v>182</v>
      </c>
    </row>
    <row r="18" customFormat="false" ht="15" hidden="false" customHeight="false" outlineLevel="0" collapsed="false">
      <c r="A18" s="25"/>
      <c r="B18" s="25"/>
      <c r="C18" s="29" t="str">
        <f aca="false">IF($B18="","",IFERROR(INDEX(Projects!$B$5:$B$204,MATCH($B18,Projects!$A$5:$A$204,0)),"Unknown project ID"))</f>
        <v/>
      </c>
      <c r="D18" s="25"/>
      <c r="E18" s="25"/>
      <c r="F18" s="25"/>
      <c r="G18" s="25"/>
      <c r="H18" s="25"/>
      <c r="I18" s="26"/>
      <c r="J18" s="26"/>
      <c r="K18" s="26"/>
      <c r="L18" s="30" t="str">
        <f aca="true">IF(OR($J18="",$H18="Done",$H18="Cancelled"),"",$J18-TODAY())</f>
        <v/>
      </c>
      <c r="M18" s="29" t="str">
        <f aca="true">IF(AND($J18&lt;&gt;"",$H18&lt;&gt;"Done",$H18&lt;&gt;"Cancelled",$J18&lt;TODAY()),"OVERDUE","")</f>
        <v/>
      </c>
      <c r="N18" s="25"/>
      <c r="O18" s="26"/>
      <c r="P18" s="25"/>
    </row>
    <row r="19" customFormat="false" ht="15" hidden="false" customHeight="false" outlineLevel="0" collapsed="false">
      <c r="A19" s="25"/>
      <c r="B19" s="25"/>
      <c r="C19" s="29" t="str">
        <f aca="false">IF($B19="","",IFERROR(INDEX(Projects!$B$5:$B$204,MATCH($B19,Projects!$A$5:$A$204,0)),"Unknown project ID"))</f>
        <v/>
      </c>
      <c r="D19" s="25"/>
      <c r="E19" s="25"/>
      <c r="F19" s="25"/>
      <c r="G19" s="25"/>
      <c r="H19" s="25"/>
      <c r="I19" s="26"/>
      <c r="J19" s="26"/>
      <c r="K19" s="26"/>
      <c r="L19" s="30" t="str">
        <f aca="true">IF(OR($J19="",$H19="Done",$H19="Cancelled"),"",$J19-TODAY())</f>
        <v/>
      </c>
      <c r="M19" s="29" t="str">
        <f aca="true">IF(AND($J19&lt;&gt;"",$H19&lt;&gt;"Done",$H19&lt;&gt;"Cancelled",$J19&lt;TODAY()),"OVERDUE","")</f>
        <v/>
      </c>
      <c r="N19" s="25"/>
      <c r="O19" s="26"/>
      <c r="P19" s="25"/>
    </row>
    <row r="20" customFormat="false" ht="15" hidden="false" customHeight="false" outlineLevel="0" collapsed="false">
      <c r="A20" s="25"/>
      <c r="B20" s="25"/>
      <c r="C20" s="29" t="str">
        <f aca="false">IF($B20="","",IFERROR(INDEX(Projects!$B$5:$B$204,MATCH($B20,Projects!$A$5:$A$204,0)),"Unknown project ID"))</f>
        <v/>
      </c>
      <c r="D20" s="25"/>
      <c r="E20" s="25"/>
      <c r="F20" s="25"/>
      <c r="G20" s="25"/>
      <c r="H20" s="25"/>
      <c r="I20" s="26"/>
      <c r="J20" s="26"/>
      <c r="K20" s="26"/>
      <c r="L20" s="30" t="str">
        <f aca="true">IF(OR($J20="",$H20="Done",$H20="Cancelled"),"",$J20-TODAY())</f>
        <v/>
      </c>
      <c r="M20" s="29" t="str">
        <f aca="true">IF(AND($J20&lt;&gt;"",$H20&lt;&gt;"Done",$H20&lt;&gt;"Cancelled",$J20&lt;TODAY()),"OVERDUE","")</f>
        <v/>
      </c>
      <c r="N20" s="25"/>
      <c r="O20" s="26"/>
      <c r="P20" s="25"/>
    </row>
    <row r="21" customFormat="false" ht="15" hidden="false" customHeight="false" outlineLevel="0" collapsed="false">
      <c r="A21" s="25"/>
      <c r="B21" s="25"/>
      <c r="C21" s="29" t="str">
        <f aca="false">IF($B21="","",IFERROR(INDEX(Projects!$B$5:$B$204,MATCH($B21,Projects!$A$5:$A$204,0)),"Unknown project ID"))</f>
        <v/>
      </c>
      <c r="D21" s="25"/>
      <c r="E21" s="25"/>
      <c r="F21" s="25"/>
      <c r="G21" s="25"/>
      <c r="H21" s="25"/>
      <c r="I21" s="26"/>
      <c r="J21" s="26"/>
      <c r="K21" s="26"/>
      <c r="L21" s="30" t="str">
        <f aca="true">IF(OR($J21="",$H21="Done",$H21="Cancelled"),"",$J21-TODAY())</f>
        <v/>
      </c>
      <c r="M21" s="29" t="str">
        <f aca="true">IF(AND($J21&lt;&gt;"",$H21&lt;&gt;"Done",$H21&lt;&gt;"Cancelled",$J21&lt;TODAY()),"OVERDUE","")</f>
        <v/>
      </c>
      <c r="N21" s="25"/>
      <c r="O21" s="26"/>
      <c r="P21" s="25"/>
    </row>
    <row r="22" customFormat="false" ht="15" hidden="false" customHeight="false" outlineLevel="0" collapsed="false">
      <c r="A22" s="25"/>
      <c r="B22" s="25"/>
      <c r="C22" s="29" t="str">
        <f aca="false">IF($B22="","",IFERROR(INDEX(Projects!$B$5:$B$204,MATCH($B22,Projects!$A$5:$A$204,0)),"Unknown project ID"))</f>
        <v/>
      </c>
      <c r="D22" s="25"/>
      <c r="E22" s="25"/>
      <c r="F22" s="25"/>
      <c r="G22" s="25"/>
      <c r="H22" s="25"/>
      <c r="I22" s="26"/>
      <c r="J22" s="26"/>
      <c r="K22" s="26"/>
      <c r="L22" s="30" t="str">
        <f aca="true">IF(OR($J22="",$H22="Done",$H22="Cancelled"),"",$J22-TODAY())</f>
        <v/>
      </c>
      <c r="M22" s="29" t="str">
        <f aca="true">IF(AND($J22&lt;&gt;"",$H22&lt;&gt;"Done",$H22&lt;&gt;"Cancelled",$J22&lt;TODAY()),"OVERDUE","")</f>
        <v/>
      </c>
      <c r="N22" s="25"/>
      <c r="O22" s="26"/>
      <c r="P22" s="25"/>
    </row>
    <row r="23" customFormat="false" ht="15" hidden="false" customHeight="false" outlineLevel="0" collapsed="false">
      <c r="A23" s="25"/>
      <c r="B23" s="25"/>
      <c r="C23" s="29" t="str">
        <f aca="false">IF($B23="","",IFERROR(INDEX(Projects!$B$5:$B$204,MATCH($B23,Projects!$A$5:$A$204,0)),"Unknown project ID"))</f>
        <v/>
      </c>
      <c r="D23" s="25"/>
      <c r="E23" s="25"/>
      <c r="F23" s="25"/>
      <c r="G23" s="25"/>
      <c r="H23" s="25"/>
      <c r="I23" s="26"/>
      <c r="J23" s="26"/>
      <c r="K23" s="26"/>
      <c r="L23" s="30" t="str">
        <f aca="true">IF(OR($J23="",$H23="Done",$H23="Cancelled"),"",$J23-TODAY())</f>
        <v/>
      </c>
      <c r="M23" s="29" t="str">
        <f aca="true">IF(AND($J23&lt;&gt;"",$H23&lt;&gt;"Done",$H23&lt;&gt;"Cancelled",$J23&lt;TODAY()),"OVERDUE","")</f>
        <v/>
      </c>
      <c r="N23" s="25"/>
      <c r="O23" s="26"/>
      <c r="P23" s="25"/>
    </row>
    <row r="24" customFormat="false" ht="15" hidden="false" customHeight="false" outlineLevel="0" collapsed="false">
      <c r="A24" s="25"/>
      <c r="B24" s="25"/>
      <c r="C24" s="29" t="str">
        <f aca="false">IF($B24="","",IFERROR(INDEX(Projects!$B$5:$B$204,MATCH($B24,Projects!$A$5:$A$204,0)),"Unknown project ID"))</f>
        <v/>
      </c>
      <c r="D24" s="25"/>
      <c r="E24" s="25"/>
      <c r="F24" s="25"/>
      <c r="G24" s="25"/>
      <c r="H24" s="25"/>
      <c r="I24" s="26"/>
      <c r="J24" s="26"/>
      <c r="K24" s="26"/>
      <c r="L24" s="30" t="str">
        <f aca="true">IF(OR($J24="",$H24="Done",$H24="Cancelled"),"",$J24-TODAY())</f>
        <v/>
      </c>
      <c r="M24" s="29" t="str">
        <f aca="true">IF(AND($J24&lt;&gt;"",$H24&lt;&gt;"Done",$H24&lt;&gt;"Cancelled",$J24&lt;TODAY()),"OVERDUE","")</f>
        <v/>
      </c>
      <c r="N24" s="25"/>
      <c r="O24" s="26"/>
      <c r="P24" s="25"/>
    </row>
    <row r="25" customFormat="false" ht="15" hidden="false" customHeight="false" outlineLevel="0" collapsed="false">
      <c r="A25" s="25"/>
      <c r="B25" s="25"/>
      <c r="C25" s="29" t="str">
        <f aca="false">IF($B25="","",IFERROR(INDEX(Projects!$B$5:$B$204,MATCH($B25,Projects!$A$5:$A$204,0)),"Unknown project ID"))</f>
        <v/>
      </c>
      <c r="D25" s="25"/>
      <c r="E25" s="25"/>
      <c r="F25" s="25"/>
      <c r="G25" s="25"/>
      <c r="H25" s="25"/>
      <c r="I25" s="26"/>
      <c r="J25" s="26"/>
      <c r="K25" s="26"/>
      <c r="L25" s="30" t="str">
        <f aca="true">IF(OR($J25="",$H25="Done",$H25="Cancelled"),"",$J25-TODAY())</f>
        <v/>
      </c>
      <c r="M25" s="29" t="str">
        <f aca="true">IF(AND($J25&lt;&gt;"",$H25&lt;&gt;"Done",$H25&lt;&gt;"Cancelled",$J25&lt;TODAY()),"OVERDUE","")</f>
        <v/>
      </c>
      <c r="N25" s="25"/>
      <c r="O25" s="26"/>
      <c r="P25" s="25"/>
    </row>
    <row r="26" customFormat="false" ht="15" hidden="false" customHeight="false" outlineLevel="0" collapsed="false">
      <c r="A26" s="25"/>
      <c r="B26" s="25"/>
      <c r="C26" s="29" t="str">
        <f aca="false">IF($B26="","",IFERROR(INDEX(Projects!$B$5:$B$204,MATCH($B26,Projects!$A$5:$A$204,0)),"Unknown project ID"))</f>
        <v/>
      </c>
      <c r="D26" s="25"/>
      <c r="E26" s="25"/>
      <c r="F26" s="25"/>
      <c r="G26" s="25"/>
      <c r="H26" s="25"/>
      <c r="I26" s="26"/>
      <c r="J26" s="26"/>
      <c r="K26" s="26"/>
      <c r="L26" s="30" t="str">
        <f aca="true">IF(OR($J26="",$H26="Done",$H26="Cancelled"),"",$J26-TODAY())</f>
        <v/>
      </c>
      <c r="M26" s="29" t="str">
        <f aca="true">IF(AND($J26&lt;&gt;"",$H26&lt;&gt;"Done",$H26&lt;&gt;"Cancelled",$J26&lt;TODAY()),"OVERDUE","")</f>
        <v/>
      </c>
      <c r="N26" s="25"/>
      <c r="O26" s="26"/>
      <c r="P26" s="25"/>
    </row>
    <row r="27" customFormat="false" ht="15" hidden="false" customHeight="false" outlineLevel="0" collapsed="false">
      <c r="A27" s="25"/>
      <c r="B27" s="25"/>
      <c r="C27" s="29" t="str">
        <f aca="false">IF($B27="","",IFERROR(INDEX(Projects!$B$5:$B$204,MATCH($B27,Projects!$A$5:$A$204,0)),"Unknown project ID"))</f>
        <v/>
      </c>
      <c r="D27" s="25"/>
      <c r="E27" s="25"/>
      <c r="F27" s="25"/>
      <c r="G27" s="25"/>
      <c r="H27" s="25"/>
      <c r="I27" s="26"/>
      <c r="J27" s="26"/>
      <c r="K27" s="26"/>
      <c r="L27" s="30" t="str">
        <f aca="true">IF(OR($J27="",$H27="Done",$H27="Cancelled"),"",$J27-TODAY())</f>
        <v/>
      </c>
      <c r="M27" s="29" t="str">
        <f aca="true">IF(AND($J27&lt;&gt;"",$H27&lt;&gt;"Done",$H27&lt;&gt;"Cancelled",$J27&lt;TODAY()),"OVERDUE","")</f>
        <v/>
      </c>
      <c r="N27" s="25"/>
      <c r="O27" s="26"/>
      <c r="P27" s="25"/>
    </row>
    <row r="28" customFormat="false" ht="15" hidden="false" customHeight="false" outlineLevel="0" collapsed="false">
      <c r="A28" s="25"/>
      <c r="B28" s="25"/>
      <c r="C28" s="29" t="str">
        <f aca="false">IF($B28="","",IFERROR(INDEX(Projects!$B$5:$B$204,MATCH($B28,Projects!$A$5:$A$204,0)),"Unknown project ID"))</f>
        <v/>
      </c>
      <c r="D28" s="25"/>
      <c r="E28" s="25"/>
      <c r="F28" s="25"/>
      <c r="G28" s="25"/>
      <c r="H28" s="25"/>
      <c r="I28" s="26"/>
      <c r="J28" s="26"/>
      <c r="K28" s="26"/>
      <c r="L28" s="30" t="str">
        <f aca="true">IF(OR($J28="",$H28="Done",$H28="Cancelled"),"",$J28-TODAY())</f>
        <v/>
      </c>
      <c r="M28" s="29" t="str">
        <f aca="true">IF(AND($J28&lt;&gt;"",$H28&lt;&gt;"Done",$H28&lt;&gt;"Cancelled",$J28&lt;TODAY()),"OVERDUE","")</f>
        <v/>
      </c>
      <c r="N28" s="25"/>
      <c r="O28" s="26"/>
      <c r="P28" s="25"/>
    </row>
    <row r="29" customFormat="false" ht="15" hidden="false" customHeight="false" outlineLevel="0" collapsed="false">
      <c r="A29" s="25"/>
      <c r="B29" s="25"/>
      <c r="C29" s="29" t="str">
        <f aca="false">IF($B29="","",IFERROR(INDEX(Projects!$B$5:$B$204,MATCH($B29,Projects!$A$5:$A$204,0)),"Unknown project ID"))</f>
        <v/>
      </c>
      <c r="D29" s="25"/>
      <c r="E29" s="25"/>
      <c r="F29" s="25"/>
      <c r="G29" s="25"/>
      <c r="H29" s="25"/>
      <c r="I29" s="26"/>
      <c r="J29" s="26"/>
      <c r="K29" s="26"/>
      <c r="L29" s="30" t="str">
        <f aca="true">IF(OR($J29="",$H29="Done",$H29="Cancelled"),"",$J29-TODAY())</f>
        <v/>
      </c>
      <c r="M29" s="29" t="str">
        <f aca="true">IF(AND($J29&lt;&gt;"",$H29&lt;&gt;"Done",$H29&lt;&gt;"Cancelled",$J29&lt;TODAY()),"OVERDUE","")</f>
        <v/>
      </c>
      <c r="N29" s="25"/>
      <c r="O29" s="26"/>
      <c r="P29" s="25"/>
    </row>
    <row r="30" customFormat="false" ht="15" hidden="false" customHeight="false" outlineLevel="0" collapsed="false">
      <c r="A30" s="25"/>
      <c r="B30" s="25"/>
      <c r="C30" s="29" t="str">
        <f aca="false">IF($B30="","",IFERROR(INDEX(Projects!$B$5:$B$204,MATCH($B30,Projects!$A$5:$A$204,0)),"Unknown project ID"))</f>
        <v/>
      </c>
      <c r="D30" s="25"/>
      <c r="E30" s="25"/>
      <c r="F30" s="25"/>
      <c r="G30" s="25"/>
      <c r="H30" s="25"/>
      <c r="I30" s="26"/>
      <c r="J30" s="26"/>
      <c r="K30" s="26"/>
      <c r="L30" s="30" t="str">
        <f aca="true">IF(OR($J30="",$H30="Done",$H30="Cancelled"),"",$J30-TODAY())</f>
        <v/>
      </c>
      <c r="M30" s="29" t="str">
        <f aca="true">IF(AND($J30&lt;&gt;"",$H30&lt;&gt;"Done",$H30&lt;&gt;"Cancelled",$J30&lt;TODAY()),"OVERDUE","")</f>
        <v/>
      </c>
      <c r="N30" s="25"/>
      <c r="O30" s="26"/>
      <c r="P30" s="25"/>
    </row>
    <row r="31" customFormat="false" ht="15" hidden="false" customHeight="false" outlineLevel="0" collapsed="false">
      <c r="A31" s="25"/>
      <c r="B31" s="25"/>
      <c r="C31" s="29" t="str">
        <f aca="false">IF($B31="","",IFERROR(INDEX(Projects!$B$5:$B$204,MATCH($B31,Projects!$A$5:$A$204,0)),"Unknown project ID"))</f>
        <v/>
      </c>
      <c r="D31" s="25"/>
      <c r="E31" s="25"/>
      <c r="F31" s="25"/>
      <c r="G31" s="25"/>
      <c r="H31" s="25"/>
      <c r="I31" s="26"/>
      <c r="J31" s="26"/>
      <c r="K31" s="26"/>
      <c r="L31" s="30" t="str">
        <f aca="true">IF(OR($J31="",$H31="Done",$H31="Cancelled"),"",$J31-TODAY())</f>
        <v/>
      </c>
      <c r="M31" s="29" t="str">
        <f aca="true">IF(AND($J31&lt;&gt;"",$H31&lt;&gt;"Done",$H31&lt;&gt;"Cancelled",$J31&lt;TODAY()),"OVERDUE","")</f>
        <v/>
      </c>
      <c r="N31" s="25"/>
      <c r="O31" s="26"/>
      <c r="P31" s="25"/>
    </row>
    <row r="32" customFormat="false" ht="15" hidden="false" customHeight="false" outlineLevel="0" collapsed="false">
      <c r="A32" s="25"/>
      <c r="B32" s="25"/>
      <c r="C32" s="29" t="str">
        <f aca="false">IF($B32="","",IFERROR(INDEX(Projects!$B$5:$B$204,MATCH($B32,Projects!$A$5:$A$204,0)),"Unknown project ID"))</f>
        <v/>
      </c>
      <c r="D32" s="25"/>
      <c r="E32" s="25"/>
      <c r="F32" s="25"/>
      <c r="G32" s="25"/>
      <c r="H32" s="25"/>
      <c r="I32" s="26"/>
      <c r="J32" s="26"/>
      <c r="K32" s="26"/>
      <c r="L32" s="30" t="str">
        <f aca="true">IF(OR($J32="",$H32="Done",$H32="Cancelled"),"",$J32-TODAY())</f>
        <v/>
      </c>
      <c r="M32" s="29" t="str">
        <f aca="true">IF(AND($J32&lt;&gt;"",$H32&lt;&gt;"Done",$H32&lt;&gt;"Cancelled",$J32&lt;TODAY()),"OVERDUE","")</f>
        <v/>
      </c>
      <c r="N32" s="25"/>
      <c r="O32" s="26"/>
      <c r="P32" s="25"/>
    </row>
    <row r="33" customFormat="false" ht="15" hidden="false" customHeight="false" outlineLevel="0" collapsed="false">
      <c r="A33" s="25"/>
      <c r="B33" s="25"/>
      <c r="C33" s="29" t="str">
        <f aca="false">IF($B33="","",IFERROR(INDEX(Projects!$B$5:$B$204,MATCH($B33,Projects!$A$5:$A$204,0)),"Unknown project ID"))</f>
        <v/>
      </c>
      <c r="D33" s="25"/>
      <c r="E33" s="25"/>
      <c r="F33" s="25"/>
      <c r="G33" s="25"/>
      <c r="H33" s="25"/>
      <c r="I33" s="26"/>
      <c r="J33" s="26"/>
      <c r="K33" s="26"/>
      <c r="L33" s="30" t="str">
        <f aca="true">IF(OR($J33="",$H33="Done",$H33="Cancelled"),"",$J33-TODAY())</f>
        <v/>
      </c>
      <c r="M33" s="29" t="str">
        <f aca="true">IF(AND($J33&lt;&gt;"",$H33&lt;&gt;"Done",$H33&lt;&gt;"Cancelled",$J33&lt;TODAY()),"OVERDUE","")</f>
        <v/>
      </c>
      <c r="N33" s="25"/>
      <c r="O33" s="26"/>
      <c r="P33" s="25"/>
    </row>
    <row r="34" customFormat="false" ht="15" hidden="false" customHeight="false" outlineLevel="0" collapsed="false">
      <c r="A34" s="25"/>
      <c r="B34" s="25"/>
      <c r="C34" s="29" t="str">
        <f aca="false">IF($B34="","",IFERROR(INDEX(Projects!$B$5:$B$204,MATCH($B34,Projects!$A$5:$A$204,0)),"Unknown project ID"))</f>
        <v/>
      </c>
      <c r="D34" s="25"/>
      <c r="E34" s="25"/>
      <c r="F34" s="25"/>
      <c r="G34" s="25"/>
      <c r="H34" s="25"/>
      <c r="I34" s="26"/>
      <c r="J34" s="26"/>
      <c r="K34" s="26"/>
      <c r="L34" s="30" t="str">
        <f aca="true">IF(OR($J34="",$H34="Done",$H34="Cancelled"),"",$J34-TODAY())</f>
        <v/>
      </c>
      <c r="M34" s="29" t="str">
        <f aca="true">IF(AND($J34&lt;&gt;"",$H34&lt;&gt;"Done",$H34&lt;&gt;"Cancelled",$J34&lt;TODAY()),"OVERDUE","")</f>
        <v/>
      </c>
      <c r="N34" s="25"/>
      <c r="O34" s="26"/>
      <c r="P34" s="25"/>
    </row>
    <row r="35" customFormat="false" ht="15" hidden="false" customHeight="false" outlineLevel="0" collapsed="false">
      <c r="A35" s="25"/>
      <c r="B35" s="25"/>
      <c r="C35" s="29" t="str">
        <f aca="false">IF($B35="","",IFERROR(INDEX(Projects!$B$5:$B$204,MATCH($B35,Projects!$A$5:$A$204,0)),"Unknown project ID"))</f>
        <v/>
      </c>
      <c r="D35" s="25"/>
      <c r="E35" s="25"/>
      <c r="F35" s="25"/>
      <c r="G35" s="25"/>
      <c r="H35" s="25"/>
      <c r="I35" s="26"/>
      <c r="J35" s="26"/>
      <c r="K35" s="26"/>
      <c r="L35" s="30" t="str">
        <f aca="true">IF(OR($J35="",$H35="Done",$H35="Cancelled"),"",$J35-TODAY())</f>
        <v/>
      </c>
      <c r="M35" s="29" t="str">
        <f aca="true">IF(AND($J35&lt;&gt;"",$H35&lt;&gt;"Done",$H35&lt;&gt;"Cancelled",$J35&lt;TODAY()),"OVERDUE","")</f>
        <v/>
      </c>
      <c r="N35" s="25"/>
      <c r="O35" s="26"/>
      <c r="P35" s="25"/>
    </row>
    <row r="36" customFormat="false" ht="15" hidden="false" customHeight="false" outlineLevel="0" collapsed="false">
      <c r="A36" s="25"/>
      <c r="B36" s="25"/>
      <c r="C36" s="29" t="str">
        <f aca="false">IF($B36="","",IFERROR(INDEX(Projects!$B$5:$B$204,MATCH($B36,Projects!$A$5:$A$204,0)),"Unknown project ID"))</f>
        <v/>
      </c>
      <c r="D36" s="25"/>
      <c r="E36" s="25"/>
      <c r="F36" s="25"/>
      <c r="G36" s="25"/>
      <c r="H36" s="25"/>
      <c r="I36" s="26"/>
      <c r="J36" s="26"/>
      <c r="K36" s="26"/>
      <c r="L36" s="30" t="str">
        <f aca="true">IF(OR($J36="",$H36="Done",$H36="Cancelled"),"",$J36-TODAY())</f>
        <v/>
      </c>
      <c r="M36" s="29" t="str">
        <f aca="true">IF(AND($J36&lt;&gt;"",$H36&lt;&gt;"Done",$H36&lt;&gt;"Cancelled",$J36&lt;TODAY()),"OVERDUE","")</f>
        <v/>
      </c>
      <c r="N36" s="25"/>
      <c r="O36" s="26"/>
      <c r="P36" s="25"/>
    </row>
    <row r="37" customFormat="false" ht="15" hidden="false" customHeight="false" outlineLevel="0" collapsed="false">
      <c r="A37" s="25"/>
      <c r="B37" s="25"/>
      <c r="C37" s="29" t="str">
        <f aca="false">IF($B37="","",IFERROR(INDEX(Projects!$B$5:$B$204,MATCH($B37,Projects!$A$5:$A$204,0)),"Unknown project ID"))</f>
        <v/>
      </c>
      <c r="D37" s="25"/>
      <c r="E37" s="25"/>
      <c r="F37" s="25"/>
      <c r="G37" s="25"/>
      <c r="H37" s="25"/>
      <c r="I37" s="26"/>
      <c r="J37" s="26"/>
      <c r="K37" s="26"/>
      <c r="L37" s="30" t="str">
        <f aca="true">IF(OR($J37="",$H37="Done",$H37="Cancelled"),"",$J37-TODAY())</f>
        <v/>
      </c>
      <c r="M37" s="29" t="str">
        <f aca="true">IF(AND($J37&lt;&gt;"",$H37&lt;&gt;"Done",$H37&lt;&gt;"Cancelled",$J37&lt;TODAY()),"OVERDUE","")</f>
        <v/>
      </c>
      <c r="N37" s="25"/>
      <c r="O37" s="26"/>
      <c r="P37" s="25"/>
    </row>
    <row r="38" customFormat="false" ht="15" hidden="false" customHeight="false" outlineLevel="0" collapsed="false">
      <c r="A38" s="25"/>
      <c r="B38" s="25"/>
      <c r="C38" s="29" t="str">
        <f aca="false">IF($B38="","",IFERROR(INDEX(Projects!$B$5:$B$204,MATCH($B38,Projects!$A$5:$A$204,0)),"Unknown project ID"))</f>
        <v/>
      </c>
      <c r="D38" s="25"/>
      <c r="E38" s="25"/>
      <c r="F38" s="25"/>
      <c r="G38" s="25"/>
      <c r="H38" s="25"/>
      <c r="I38" s="26"/>
      <c r="J38" s="26"/>
      <c r="K38" s="26"/>
      <c r="L38" s="30" t="str">
        <f aca="true">IF(OR($J38="",$H38="Done",$H38="Cancelled"),"",$J38-TODAY())</f>
        <v/>
      </c>
      <c r="M38" s="29" t="str">
        <f aca="true">IF(AND($J38&lt;&gt;"",$H38&lt;&gt;"Done",$H38&lt;&gt;"Cancelled",$J38&lt;TODAY()),"OVERDUE","")</f>
        <v/>
      </c>
      <c r="N38" s="25"/>
      <c r="O38" s="26"/>
      <c r="P38" s="25"/>
    </row>
    <row r="39" customFormat="false" ht="15" hidden="false" customHeight="false" outlineLevel="0" collapsed="false">
      <c r="A39" s="25"/>
      <c r="B39" s="25"/>
      <c r="C39" s="29" t="str">
        <f aca="false">IF($B39="","",IFERROR(INDEX(Projects!$B$5:$B$204,MATCH($B39,Projects!$A$5:$A$204,0)),"Unknown project ID"))</f>
        <v/>
      </c>
      <c r="D39" s="25"/>
      <c r="E39" s="25"/>
      <c r="F39" s="25"/>
      <c r="G39" s="25"/>
      <c r="H39" s="25"/>
      <c r="I39" s="26"/>
      <c r="J39" s="26"/>
      <c r="K39" s="26"/>
      <c r="L39" s="30" t="str">
        <f aca="true">IF(OR($J39="",$H39="Done",$H39="Cancelled"),"",$J39-TODAY())</f>
        <v/>
      </c>
      <c r="M39" s="29" t="str">
        <f aca="true">IF(AND($J39&lt;&gt;"",$H39&lt;&gt;"Done",$H39&lt;&gt;"Cancelled",$J39&lt;TODAY()),"OVERDUE","")</f>
        <v/>
      </c>
      <c r="N39" s="25"/>
      <c r="O39" s="26"/>
      <c r="P39" s="25"/>
    </row>
    <row r="40" customFormat="false" ht="15" hidden="false" customHeight="false" outlineLevel="0" collapsed="false">
      <c r="A40" s="25"/>
      <c r="B40" s="25"/>
      <c r="C40" s="29" t="str">
        <f aca="false">IF($B40="","",IFERROR(INDEX(Projects!$B$5:$B$204,MATCH($B40,Projects!$A$5:$A$204,0)),"Unknown project ID"))</f>
        <v/>
      </c>
      <c r="D40" s="25"/>
      <c r="E40" s="25"/>
      <c r="F40" s="25"/>
      <c r="G40" s="25"/>
      <c r="H40" s="25"/>
      <c r="I40" s="26"/>
      <c r="J40" s="26"/>
      <c r="K40" s="26"/>
      <c r="L40" s="30" t="str">
        <f aca="true">IF(OR($J40="",$H40="Done",$H40="Cancelled"),"",$J40-TODAY())</f>
        <v/>
      </c>
      <c r="M40" s="29" t="str">
        <f aca="true">IF(AND($J40&lt;&gt;"",$H40&lt;&gt;"Done",$H40&lt;&gt;"Cancelled",$J40&lt;TODAY()),"OVERDUE","")</f>
        <v/>
      </c>
      <c r="N40" s="25"/>
      <c r="O40" s="26"/>
      <c r="P40" s="25"/>
    </row>
    <row r="41" customFormat="false" ht="15" hidden="false" customHeight="false" outlineLevel="0" collapsed="false">
      <c r="A41" s="25"/>
      <c r="B41" s="25"/>
      <c r="C41" s="29" t="str">
        <f aca="false">IF($B41="","",IFERROR(INDEX(Projects!$B$5:$B$204,MATCH($B41,Projects!$A$5:$A$204,0)),"Unknown project ID"))</f>
        <v/>
      </c>
      <c r="D41" s="25"/>
      <c r="E41" s="25"/>
      <c r="F41" s="25"/>
      <c r="G41" s="25"/>
      <c r="H41" s="25"/>
      <c r="I41" s="26"/>
      <c r="J41" s="26"/>
      <c r="K41" s="26"/>
      <c r="L41" s="30" t="str">
        <f aca="true">IF(OR($J41="",$H41="Done",$H41="Cancelled"),"",$J41-TODAY())</f>
        <v/>
      </c>
      <c r="M41" s="29" t="str">
        <f aca="true">IF(AND($J41&lt;&gt;"",$H41&lt;&gt;"Done",$H41&lt;&gt;"Cancelled",$J41&lt;TODAY()),"OVERDUE","")</f>
        <v/>
      </c>
      <c r="N41" s="25"/>
      <c r="O41" s="26"/>
      <c r="P41" s="25"/>
    </row>
    <row r="42" customFormat="false" ht="15" hidden="false" customHeight="false" outlineLevel="0" collapsed="false">
      <c r="A42" s="25"/>
      <c r="B42" s="25"/>
      <c r="C42" s="29" t="str">
        <f aca="false">IF($B42="","",IFERROR(INDEX(Projects!$B$5:$B$204,MATCH($B42,Projects!$A$5:$A$204,0)),"Unknown project ID"))</f>
        <v/>
      </c>
      <c r="D42" s="25"/>
      <c r="E42" s="25"/>
      <c r="F42" s="25"/>
      <c r="G42" s="25"/>
      <c r="H42" s="25"/>
      <c r="I42" s="26"/>
      <c r="J42" s="26"/>
      <c r="K42" s="26"/>
      <c r="L42" s="30" t="str">
        <f aca="true">IF(OR($J42="",$H42="Done",$H42="Cancelled"),"",$J42-TODAY())</f>
        <v/>
      </c>
      <c r="M42" s="29" t="str">
        <f aca="true">IF(AND($J42&lt;&gt;"",$H42&lt;&gt;"Done",$H42&lt;&gt;"Cancelled",$J42&lt;TODAY()),"OVERDUE","")</f>
        <v/>
      </c>
      <c r="N42" s="25"/>
      <c r="O42" s="26"/>
      <c r="P42" s="25"/>
    </row>
    <row r="43" customFormat="false" ht="15" hidden="false" customHeight="false" outlineLevel="0" collapsed="false">
      <c r="A43" s="25"/>
      <c r="B43" s="25"/>
      <c r="C43" s="29" t="str">
        <f aca="false">IF($B43="","",IFERROR(INDEX(Projects!$B$5:$B$204,MATCH($B43,Projects!$A$5:$A$204,0)),"Unknown project ID"))</f>
        <v/>
      </c>
      <c r="D43" s="25"/>
      <c r="E43" s="25"/>
      <c r="F43" s="25"/>
      <c r="G43" s="25"/>
      <c r="H43" s="25"/>
      <c r="I43" s="26"/>
      <c r="J43" s="26"/>
      <c r="K43" s="26"/>
      <c r="L43" s="30" t="str">
        <f aca="true">IF(OR($J43="",$H43="Done",$H43="Cancelled"),"",$J43-TODAY())</f>
        <v/>
      </c>
      <c r="M43" s="29" t="str">
        <f aca="true">IF(AND($J43&lt;&gt;"",$H43&lt;&gt;"Done",$H43&lt;&gt;"Cancelled",$J43&lt;TODAY()),"OVERDUE","")</f>
        <v/>
      </c>
      <c r="N43" s="25"/>
      <c r="O43" s="26"/>
      <c r="P43" s="25"/>
    </row>
    <row r="44" customFormat="false" ht="15" hidden="false" customHeight="false" outlineLevel="0" collapsed="false">
      <c r="A44" s="25"/>
      <c r="B44" s="25"/>
      <c r="C44" s="29" t="str">
        <f aca="false">IF($B44="","",IFERROR(INDEX(Projects!$B$5:$B$204,MATCH($B44,Projects!$A$5:$A$204,0)),"Unknown project ID"))</f>
        <v/>
      </c>
      <c r="D44" s="25"/>
      <c r="E44" s="25"/>
      <c r="F44" s="25"/>
      <c r="G44" s="25"/>
      <c r="H44" s="25"/>
      <c r="I44" s="26"/>
      <c r="J44" s="26"/>
      <c r="K44" s="26"/>
      <c r="L44" s="30" t="str">
        <f aca="true">IF(OR($J44="",$H44="Done",$H44="Cancelled"),"",$J44-TODAY())</f>
        <v/>
      </c>
      <c r="M44" s="29" t="str">
        <f aca="true">IF(AND($J44&lt;&gt;"",$H44&lt;&gt;"Done",$H44&lt;&gt;"Cancelled",$J44&lt;TODAY()),"OVERDUE","")</f>
        <v/>
      </c>
      <c r="N44" s="25"/>
      <c r="O44" s="26"/>
      <c r="P44" s="25"/>
    </row>
    <row r="45" customFormat="false" ht="15" hidden="false" customHeight="false" outlineLevel="0" collapsed="false">
      <c r="A45" s="25"/>
      <c r="B45" s="25"/>
      <c r="C45" s="29" t="str">
        <f aca="false">IF($B45="","",IFERROR(INDEX(Projects!$B$5:$B$204,MATCH($B45,Projects!$A$5:$A$204,0)),"Unknown project ID"))</f>
        <v/>
      </c>
      <c r="D45" s="25"/>
      <c r="E45" s="25"/>
      <c r="F45" s="25"/>
      <c r="G45" s="25"/>
      <c r="H45" s="25"/>
      <c r="I45" s="26"/>
      <c r="J45" s="26"/>
      <c r="K45" s="26"/>
      <c r="L45" s="30" t="str">
        <f aca="true">IF(OR($J45="",$H45="Done",$H45="Cancelled"),"",$J45-TODAY())</f>
        <v/>
      </c>
      <c r="M45" s="29" t="str">
        <f aca="true">IF(AND($J45&lt;&gt;"",$H45&lt;&gt;"Done",$H45&lt;&gt;"Cancelled",$J45&lt;TODAY()),"OVERDUE","")</f>
        <v/>
      </c>
      <c r="N45" s="25"/>
      <c r="O45" s="26"/>
      <c r="P45" s="25"/>
    </row>
    <row r="46" customFormat="false" ht="15" hidden="false" customHeight="false" outlineLevel="0" collapsed="false">
      <c r="A46" s="25"/>
      <c r="B46" s="25"/>
      <c r="C46" s="29" t="str">
        <f aca="false">IF($B46="","",IFERROR(INDEX(Projects!$B$5:$B$204,MATCH($B46,Projects!$A$5:$A$204,0)),"Unknown project ID"))</f>
        <v/>
      </c>
      <c r="D46" s="25"/>
      <c r="E46" s="25"/>
      <c r="F46" s="25"/>
      <c r="G46" s="25"/>
      <c r="H46" s="25"/>
      <c r="I46" s="26"/>
      <c r="J46" s="26"/>
      <c r="K46" s="26"/>
      <c r="L46" s="30" t="str">
        <f aca="true">IF(OR($J46="",$H46="Done",$H46="Cancelled"),"",$J46-TODAY())</f>
        <v/>
      </c>
      <c r="M46" s="29" t="str">
        <f aca="true">IF(AND($J46&lt;&gt;"",$H46&lt;&gt;"Done",$H46&lt;&gt;"Cancelled",$J46&lt;TODAY()),"OVERDUE","")</f>
        <v/>
      </c>
      <c r="N46" s="25"/>
      <c r="O46" s="26"/>
      <c r="P46" s="25"/>
    </row>
    <row r="47" customFormat="false" ht="15" hidden="false" customHeight="false" outlineLevel="0" collapsed="false">
      <c r="A47" s="25"/>
      <c r="B47" s="25"/>
      <c r="C47" s="29" t="str">
        <f aca="false">IF($B47="","",IFERROR(INDEX(Projects!$B$5:$B$204,MATCH($B47,Projects!$A$5:$A$204,0)),"Unknown project ID"))</f>
        <v/>
      </c>
      <c r="D47" s="25"/>
      <c r="E47" s="25"/>
      <c r="F47" s="25"/>
      <c r="G47" s="25"/>
      <c r="H47" s="25"/>
      <c r="I47" s="26"/>
      <c r="J47" s="26"/>
      <c r="K47" s="26"/>
      <c r="L47" s="30" t="str">
        <f aca="true">IF(OR($J47="",$H47="Done",$H47="Cancelled"),"",$J47-TODAY())</f>
        <v/>
      </c>
      <c r="M47" s="29" t="str">
        <f aca="true">IF(AND($J47&lt;&gt;"",$H47&lt;&gt;"Done",$H47&lt;&gt;"Cancelled",$J47&lt;TODAY()),"OVERDUE","")</f>
        <v/>
      </c>
      <c r="N47" s="25"/>
      <c r="O47" s="26"/>
      <c r="P47" s="25"/>
    </row>
    <row r="48" customFormat="false" ht="15" hidden="false" customHeight="false" outlineLevel="0" collapsed="false">
      <c r="A48" s="25"/>
      <c r="B48" s="25"/>
      <c r="C48" s="29" t="str">
        <f aca="false">IF($B48="","",IFERROR(INDEX(Projects!$B$5:$B$204,MATCH($B48,Projects!$A$5:$A$204,0)),"Unknown project ID"))</f>
        <v/>
      </c>
      <c r="D48" s="25"/>
      <c r="E48" s="25"/>
      <c r="F48" s="25"/>
      <c r="G48" s="25"/>
      <c r="H48" s="25"/>
      <c r="I48" s="26"/>
      <c r="J48" s="26"/>
      <c r="K48" s="26"/>
      <c r="L48" s="30" t="str">
        <f aca="true">IF(OR($J48="",$H48="Done",$H48="Cancelled"),"",$J48-TODAY())</f>
        <v/>
      </c>
      <c r="M48" s="29" t="str">
        <f aca="true">IF(AND($J48&lt;&gt;"",$H48&lt;&gt;"Done",$H48&lt;&gt;"Cancelled",$J48&lt;TODAY()),"OVERDUE","")</f>
        <v/>
      </c>
      <c r="N48" s="25"/>
      <c r="O48" s="26"/>
      <c r="P48" s="25"/>
    </row>
    <row r="49" customFormat="false" ht="15" hidden="false" customHeight="false" outlineLevel="0" collapsed="false">
      <c r="A49" s="25"/>
      <c r="B49" s="25"/>
      <c r="C49" s="29" t="str">
        <f aca="false">IF($B49="","",IFERROR(INDEX(Projects!$B$5:$B$204,MATCH($B49,Projects!$A$5:$A$204,0)),"Unknown project ID"))</f>
        <v/>
      </c>
      <c r="D49" s="25"/>
      <c r="E49" s="25"/>
      <c r="F49" s="25"/>
      <c r="G49" s="25"/>
      <c r="H49" s="25"/>
      <c r="I49" s="26"/>
      <c r="J49" s="26"/>
      <c r="K49" s="26"/>
      <c r="L49" s="30" t="str">
        <f aca="true">IF(OR($J49="",$H49="Done",$H49="Cancelled"),"",$J49-TODAY())</f>
        <v/>
      </c>
      <c r="M49" s="29" t="str">
        <f aca="true">IF(AND($J49&lt;&gt;"",$H49&lt;&gt;"Done",$H49&lt;&gt;"Cancelled",$J49&lt;TODAY()),"OVERDUE","")</f>
        <v/>
      </c>
      <c r="N49" s="25"/>
      <c r="O49" s="26"/>
      <c r="P49" s="25"/>
    </row>
    <row r="50" customFormat="false" ht="15" hidden="false" customHeight="false" outlineLevel="0" collapsed="false">
      <c r="A50" s="25"/>
      <c r="B50" s="25"/>
      <c r="C50" s="29" t="str">
        <f aca="false">IF($B50="","",IFERROR(INDEX(Projects!$B$5:$B$204,MATCH($B50,Projects!$A$5:$A$204,0)),"Unknown project ID"))</f>
        <v/>
      </c>
      <c r="D50" s="25"/>
      <c r="E50" s="25"/>
      <c r="F50" s="25"/>
      <c r="G50" s="25"/>
      <c r="H50" s="25"/>
      <c r="I50" s="26"/>
      <c r="J50" s="26"/>
      <c r="K50" s="26"/>
      <c r="L50" s="30" t="str">
        <f aca="true">IF(OR($J50="",$H50="Done",$H50="Cancelled"),"",$J50-TODAY())</f>
        <v/>
      </c>
      <c r="M50" s="29" t="str">
        <f aca="true">IF(AND($J50&lt;&gt;"",$H50&lt;&gt;"Done",$H50&lt;&gt;"Cancelled",$J50&lt;TODAY()),"OVERDUE","")</f>
        <v/>
      </c>
      <c r="N50" s="25"/>
      <c r="O50" s="26"/>
      <c r="P50" s="25"/>
    </row>
    <row r="51" customFormat="false" ht="15" hidden="false" customHeight="false" outlineLevel="0" collapsed="false">
      <c r="A51" s="25"/>
      <c r="B51" s="25"/>
      <c r="C51" s="29" t="str">
        <f aca="false">IF($B51="","",IFERROR(INDEX(Projects!$B$5:$B$204,MATCH($B51,Projects!$A$5:$A$204,0)),"Unknown project ID"))</f>
        <v/>
      </c>
      <c r="D51" s="25"/>
      <c r="E51" s="25"/>
      <c r="F51" s="25"/>
      <c r="G51" s="25"/>
      <c r="H51" s="25"/>
      <c r="I51" s="26"/>
      <c r="J51" s="26"/>
      <c r="K51" s="26"/>
      <c r="L51" s="30" t="str">
        <f aca="true">IF(OR($J51="",$H51="Done",$H51="Cancelled"),"",$J51-TODAY())</f>
        <v/>
      </c>
      <c r="M51" s="29" t="str">
        <f aca="true">IF(AND($J51&lt;&gt;"",$H51&lt;&gt;"Done",$H51&lt;&gt;"Cancelled",$J51&lt;TODAY()),"OVERDUE","")</f>
        <v/>
      </c>
      <c r="N51" s="25"/>
      <c r="O51" s="26"/>
      <c r="P51" s="25"/>
    </row>
    <row r="52" customFormat="false" ht="15" hidden="false" customHeight="false" outlineLevel="0" collapsed="false">
      <c r="A52" s="25"/>
      <c r="B52" s="25"/>
      <c r="C52" s="29" t="str">
        <f aca="false">IF($B52="","",IFERROR(INDEX(Projects!$B$5:$B$204,MATCH($B52,Projects!$A$5:$A$204,0)),"Unknown project ID"))</f>
        <v/>
      </c>
      <c r="D52" s="25"/>
      <c r="E52" s="25"/>
      <c r="F52" s="25"/>
      <c r="G52" s="25"/>
      <c r="H52" s="25"/>
      <c r="I52" s="26"/>
      <c r="J52" s="26"/>
      <c r="K52" s="26"/>
      <c r="L52" s="30" t="str">
        <f aca="true">IF(OR($J52="",$H52="Done",$H52="Cancelled"),"",$J52-TODAY())</f>
        <v/>
      </c>
      <c r="M52" s="29" t="str">
        <f aca="true">IF(AND($J52&lt;&gt;"",$H52&lt;&gt;"Done",$H52&lt;&gt;"Cancelled",$J52&lt;TODAY()),"OVERDUE","")</f>
        <v/>
      </c>
      <c r="N52" s="25"/>
      <c r="O52" s="26"/>
      <c r="P52" s="25"/>
    </row>
    <row r="53" customFormat="false" ht="15" hidden="false" customHeight="false" outlineLevel="0" collapsed="false">
      <c r="A53" s="25"/>
      <c r="B53" s="25"/>
      <c r="C53" s="29" t="str">
        <f aca="false">IF($B53="","",IFERROR(INDEX(Projects!$B$5:$B$204,MATCH($B53,Projects!$A$5:$A$204,0)),"Unknown project ID"))</f>
        <v/>
      </c>
      <c r="D53" s="25"/>
      <c r="E53" s="25"/>
      <c r="F53" s="25"/>
      <c r="G53" s="25"/>
      <c r="H53" s="25"/>
      <c r="I53" s="26"/>
      <c r="J53" s="26"/>
      <c r="K53" s="26"/>
      <c r="L53" s="30" t="str">
        <f aca="true">IF(OR($J53="",$H53="Done",$H53="Cancelled"),"",$J53-TODAY())</f>
        <v/>
      </c>
      <c r="M53" s="29" t="str">
        <f aca="true">IF(AND($J53&lt;&gt;"",$H53&lt;&gt;"Done",$H53&lt;&gt;"Cancelled",$J53&lt;TODAY()),"OVERDUE","")</f>
        <v/>
      </c>
      <c r="N53" s="25"/>
      <c r="O53" s="26"/>
      <c r="P53" s="25"/>
    </row>
    <row r="54" customFormat="false" ht="15" hidden="false" customHeight="false" outlineLevel="0" collapsed="false">
      <c r="A54" s="25"/>
      <c r="B54" s="25"/>
      <c r="C54" s="29" t="str">
        <f aca="false">IF($B54="","",IFERROR(INDEX(Projects!$B$5:$B$204,MATCH($B54,Projects!$A$5:$A$204,0)),"Unknown project ID"))</f>
        <v/>
      </c>
      <c r="D54" s="25"/>
      <c r="E54" s="25"/>
      <c r="F54" s="25"/>
      <c r="G54" s="25"/>
      <c r="H54" s="25"/>
      <c r="I54" s="26"/>
      <c r="J54" s="26"/>
      <c r="K54" s="26"/>
      <c r="L54" s="30" t="str">
        <f aca="true">IF(OR($J54="",$H54="Done",$H54="Cancelled"),"",$J54-TODAY())</f>
        <v/>
      </c>
      <c r="M54" s="29" t="str">
        <f aca="true">IF(AND($J54&lt;&gt;"",$H54&lt;&gt;"Done",$H54&lt;&gt;"Cancelled",$J54&lt;TODAY()),"OVERDUE","")</f>
        <v/>
      </c>
      <c r="N54" s="25"/>
      <c r="O54" s="26"/>
      <c r="P54" s="25"/>
    </row>
    <row r="55" customFormat="false" ht="15" hidden="false" customHeight="false" outlineLevel="0" collapsed="false">
      <c r="A55" s="25"/>
      <c r="B55" s="25"/>
      <c r="C55" s="29" t="str">
        <f aca="false">IF($B55="","",IFERROR(INDEX(Projects!$B$5:$B$204,MATCH($B55,Projects!$A$5:$A$204,0)),"Unknown project ID"))</f>
        <v/>
      </c>
      <c r="D55" s="25"/>
      <c r="E55" s="25"/>
      <c r="F55" s="25"/>
      <c r="G55" s="25"/>
      <c r="H55" s="25"/>
      <c r="I55" s="26"/>
      <c r="J55" s="26"/>
      <c r="K55" s="26"/>
      <c r="L55" s="30" t="str">
        <f aca="true">IF(OR($J55="",$H55="Done",$H55="Cancelled"),"",$J55-TODAY())</f>
        <v/>
      </c>
      <c r="M55" s="29" t="str">
        <f aca="true">IF(AND($J55&lt;&gt;"",$H55&lt;&gt;"Done",$H55&lt;&gt;"Cancelled",$J55&lt;TODAY()),"OVERDUE","")</f>
        <v/>
      </c>
      <c r="N55" s="25"/>
      <c r="O55" s="26"/>
      <c r="P55" s="25"/>
    </row>
    <row r="56" customFormat="false" ht="15" hidden="false" customHeight="false" outlineLevel="0" collapsed="false">
      <c r="A56" s="25"/>
      <c r="B56" s="25"/>
      <c r="C56" s="29" t="str">
        <f aca="false">IF($B56="","",IFERROR(INDEX(Projects!$B$5:$B$204,MATCH($B56,Projects!$A$5:$A$204,0)),"Unknown project ID"))</f>
        <v/>
      </c>
      <c r="D56" s="25"/>
      <c r="E56" s="25"/>
      <c r="F56" s="25"/>
      <c r="G56" s="25"/>
      <c r="H56" s="25"/>
      <c r="I56" s="26"/>
      <c r="J56" s="26"/>
      <c r="K56" s="26"/>
      <c r="L56" s="30" t="str">
        <f aca="true">IF(OR($J56="",$H56="Done",$H56="Cancelled"),"",$J56-TODAY())</f>
        <v/>
      </c>
      <c r="M56" s="29" t="str">
        <f aca="true">IF(AND($J56&lt;&gt;"",$H56&lt;&gt;"Done",$H56&lt;&gt;"Cancelled",$J56&lt;TODAY()),"OVERDUE","")</f>
        <v/>
      </c>
      <c r="N56" s="25"/>
      <c r="O56" s="26"/>
      <c r="P56" s="25"/>
    </row>
    <row r="57" customFormat="false" ht="15" hidden="false" customHeight="false" outlineLevel="0" collapsed="false">
      <c r="A57" s="25"/>
      <c r="B57" s="25"/>
      <c r="C57" s="29" t="str">
        <f aca="false">IF($B57="","",IFERROR(INDEX(Projects!$B$5:$B$204,MATCH($B57,Projects!$A$5:$A$204,0)),"Unknown project ID"))</f>
        <v/>
      </c>
      <c r="D57" s="25"/>
      <c r="E57" s="25"/>
      <c r="F57" s="25"/>
      <c r="G57" s="25"/>
      <c r="H57" s="25"/>
      <c r="I57" s="26"/>
      <c r="J57" s="26"/>
      <c r="K57" s="26"/>
      <c r="L57" s="30" t="str">
        <f aca="true">IF(OR($J57="",$H57="Done",$H57="Cancelled"),"",$J57-TODAY())</f>
        <v/>
      </c>
      <c r="M57" s="29" t="str">
        <f aca="true">IF(AND($J57&lt;&gt;"",$H57&lt;&gt;"Done",$H57&lt;&gt;"Cancelled",$J57&lt;TODAY()),"OVERDUE","")</f>
        <v/>
      </c>
      <c r="N57" s="25"/>
      <c r="O57" s="26"/>
      <c r="P57" s="25"/>
    </row>
    <row r="58" customFormat="false" ht="15" hidden="false" customHeight="false" outlineLevel="0" collapsed="false">
      <c r="A58" s="25"/>
      <c r="B58" s="25"/>
      <c r="C58" s="29" t="str">
        <f aca="false">IF($B58="","",IFERROR(INDEX(Projects!$B$5:$B$204,MATCH($B58,Projects!$A$5:$A$204,0)),"Unknown project ID"))</f>
        <v/>
      </c>
      <c r="D58" s="25"/>
      <c r="E58" s="25"/>
      <c r="F58" s="25"/>
      <c r="G58" s="25"/>
      <c r="H58" s="25"/>
      <c r="I58" s="26"/>
      <c r="J58" s="26"/>
      <c r="K58" s="26"/>
      <c r="L58" s="30" t="str">
        <f aca="true">IF(OR($J58="",$H58="Done",$H58="Cancelled"),"",$J58-TODAY())</f>
        <v/>
      </c>
      <c r="M58" s="29" t="str">
        <f aca="true">IF(AND($J58&lt;&gt;"",$H58&lt;&gt;"Done",$H58&lt;&gt;"Cancelled",$J58&lt;TODAY()),"OVERDUE","")</f>
        <v/>
      </c>
      <c r="N58" s="25"/>
      <c r="O58" s="26"/>
      <c r="P58" s="25"/>
    </row>
    <row r="59" customFormat="false" ht="15" hidden="false" customHeight="false" outlineLevel="0" collapsed="false">
      <c r="A59" s="25"/>
      <c r="B59" s="25"/>
      <c r="C59" s="29" t="str">
        <f aca="false">IF($B59="","",IFERROR(INDEX(Projects!$B$5:$B$204,MATCH($B59,Projects!$A$5:$A$204,0)),"Unknown project ID"))</f>
        <v/>
      </c>
      <c r="D59" s="25"/>
      <c r="E59" s="25"/>
      <c r="F59" s="25"/>
      <c r="G59" s="25"/>
      <c r="H59" s="25"/>
      <c r="I59" s="26"/>
      <c r="J59" s="26"/>
      <c r="K59" s="26"/>
      <c r="L59" s="30" t="str">
        <f aca="true">IF(OR($J59="",$H59="Done",$H59="Cancelled"),"",$J59-TODAY())</f>
        <v/>
      </c>
      <c r="M59" s="29" t="str">
        <f aca="true">IF(AND($J59&lt;&gt;"",$H59&lt;&gt;"Done",$H59&lt;&gt;"Cancelled",$J59&lt;TODAY()),"OVERDUE","")</f>
        <v/>
      </c>
      <c r="N59" s="25"/>
      <c r="O59" s="26"/>
      <c r="P59" s="25"/>
    </row>
    <row r="60" customFormat="false" ht="15" hidden="false" customHeight="false" outlineLevel="0" collapsed="false">
      <c r="A60" s="25"/>
      <c r="B60" s="25"/>
      <c r="C60" s="29" t="str">
        <f aca="false">IF($B60="","",IFERROR(INDEX(Projects!$B$5:$B$204,MATCH($B60,Projects!$A$5:$A$204,0)),"Unknown project ID"))</f>
        <v/>
      </c>
      <c r="D60" s="25"/>
      <c r="E60" s="25"/>
      <c r="F60" s="25"/>
      <c r="G60" s="25"/>
      <c r="H60" s="25"/>
      <c r="I60" s="26"/>
      <c r="J60" s="26"/>
      <c r="K60" s="26"/>
      <c r="L60" s="30" t="str">
        <f aca="true">IF(OR($J60="",$H60="Done",$H60="Cancelled"),"",$J60-TODAY())</f>
        <v/>
      </c>
      <c r="M60" s="29" t="str">
        <f aca="true">IF(AND($J60&lt;&gt;"",$H60&lt;&gt;"Done",$H60&lt;&gt;"Cancelled",$J60&lt;TODAY()),"OVERDUE","")</f>
        <v/>
      </c>
      <c r="N60" s="25"/>
      <c r="O60" s="26"/>
      <c r="P60" s="25"/>
    </row>
    <row r="61" customFormat="false" ht="15" hidden="false" customHeight="false" outlineLevel="0" collapsed="false">
      <c r="A61" s="25"/>
      <c r="B61" s="25"/>
      <c r="C61" s="29" t="str">
        <f aca="false">IF($B61="","",IFERROR(INDEX(Projects!$B$5:$B$204,MATCH($B61,Projects!$A$5:$A$204,0)),"Unknown project ID"))</f>
        <v/>
      </c>
      <c r="D61" s="25"/>
      <c r="E61" s="25"/>
      <c r="F61" s="25"/>
      <c r="G61" s="25"/>
      <c r="H61" s="25"/>
      <c r="I61" s="26"/>
      <c r="J61" s="26"/>
      <c r="K61" s="26"/>
      <c r="L61" s="30" t="str">
        <f aca="true">IF(OR($J61="",$H61="Done",$H61="Cancelled"),"",$J61-TODAY())</f>
        <v/>
      </c>
      <c r="M61" s="29" t="str">
        <f aca="true">IF(AND($J61&lt;&gt;"",$H61&lt;&gt;"Done",$H61&lt;&gt;"Cancelled",$J61&lt;TODAY()),"OVERDUE","")</f>
        <v/>
      </c>
      <c r="N61" s="25"/>
      <c r="O61" s="26"/>
      <c r="P61" s="25"/>
    </row>
    <row r="62" customFormat="false" ht="15" hidden="false" customHeight="false" outlineLevel="0" collapsed="false">
      <c r="A62" s="25"/>
      <c r="B62" s="25"/>
      <c r="C62" s="29" t="str">
        <f aca="false">IF($B62="","",IFERROR(INDEX(Projects!$B$5:$B$204,MATCH($B62,Projects!$A$5:$A$204,0)),"Unknown project ID"))</f>
        <v/>
      </c>
      <c r="D62" s="25"/>
      <c r="E62" s="25"/>
      <c r="F62" s="25"/>
      <c r="G62" s="25"/>
      <c r="H62" s="25"/>
      <c r="I62" s="26"/>
      <c r="J62" s="26"/>
      <c r="K62" s="26"/>
      <c r="L62" s="30" t="str">
        <f aca="true">IF(OR($J62="",$H62="Done",$H62="Cancelled"),"",$J62-TODAY())</f>
        <v/>
      </c>
      <c r="M62" s="29" t="str">
        <f aca="true">IF(AND($J62&lt;&gt;"",$H62&lt;&gt;"Done",$H62&lt;&gt;"Cancelled",$J62&lt;TODAY()),"OVERDUE","")</f>
        <v/>
      </c>
      <c r="N62" s="25"/>
      <c r="O62" s="26"/>
      <c r="P62" s="25"/>
    </row>
    <row r="63" customFormat="false" ht="15" hidden="false" customHeight="false" outlineLevel="0" collapsed="false">
      <c r="A63" s="25"/>
      <c r="B63" s="25"/>
      <c r="C63" s="29" t="str">
        <f aca="false">IF($B63="","",IFERROR(INDEX(Projects!$B$5:$B$204,MATCH($B63,Projects!$A$5:$A$204,0)),"Unknown project ID"))</f>
        <v/>
      </c>
      <c r="D63" s="25"/>
      <c r="E63" s="25"/>
      <c r="F63" s="25"/>
      <c r="G63" s="25"/>
      <c r="H63" s="25"/>
      <c r="I63" s="26"/>
      <c r="J63" s="26"/>
      <c r="K63" s="26"/>
      <c r="L63" s="30" t="str">
        <f aca="true">IF(OR($J63="",$H63="Done",$H63="Cancelled"),"",$J63-TODAY())</f>
        <v/>
      </c>
      <c r="M63" s="29" t="str">
        <f aca="true">IF(AND($J63&lt;&gt;"",$H63&lt;&gt;"Done",$H63&lt;&gt;"Cancelled",$J63&lt;TODAY()),"OVERDUE","")</f>
        <v/>
      </c>
      <c r="N63" s="25"/>
      <c r="O63" s="26"/>
      <c r="P63" s="25"/>
    </row>
    <row r="64" customFormat="false" ht="15" hidden="false" customHeight="false" outlineLevel="0" collapsed="false">
      <c r="A64" s="25"/>
      <c r="B64" s="25"/>
      <c r="C64" s="29" t="str">
        <f aca="false">IF($B64="","",IFERROR(INDEX(Projects!$B$5:$B$204,MATCH($B64,Projects!$A$5:$A$204,0)),"Unknown project ID"))</f>
        <v/>
      </c>
      <c r="D64" s="25"/>
      <c r="E64" s="25"/>
      <c r="F64" s="25"/>
      <c r="G64" s="25"/>
      <c r="H64" s="25"/>
      <c r="I64" s="26"/>
      <c r="J64" s="26"/>
      <c r="K64" s="26"/>
      <c r="L64" s="30" t="str">
        <f aca="true">IF(OR($J64="",$H64="Done",$H64="Cancelled"),"",$J64-TODAY())</f>
        <v/>
      </c>
      <c r="M64" s="29" t="str">
        <f aca="true">IF(AND($J64&lt;&gt;"",$H64&lt;&gt;"Done",$H64&lt;&gt;"Cancelled",$J64&lt;TODAY()),"OVERDUE","")</f>
        <v/>
      </c>
      <c r="N64" s="25"/>
      <c r="O64" s="26"/>
      <c r="P64" s="25"/>
    </row>
    <row r="65" customFormat="false" ht="15" hidden="false" customHeight="false" outlineLevel="0" collapsed="false">
      <c r="A65" s="25"/>
      <c r="B65" s="25"/>
      <c r="C65" s="29" t="str">
        <f aca="false">IF($B65="","",IFERROR(INDEX(Projects!$B$5:$B$204,MATCH($B65,Projects!$A$5:$A$204,0)),"Unknown project ID"))</f>
        <v/>
      </c>
      <c r="D65" s="25"/>
      <c r="E65" s="25"/>
      <c r="F65" s="25"/>
      <c r="G65" s="25"/>
      <c r="H65" s="25"/>
      <c r="I65" s="26"/>
      <c r="J65" s="26"/>
      <c r="K65" s="26"/>
      <c r="L65" s="30" t="str">
        <f aca="true">IF(OR($J65="",$H65="Done",$H65="Cancelled"),"",$J65-TODAY())</f>
        <v/>
      </c>
      <c r="M65" s="29" t="str">
        <f aca="true">IF(AND($J65&lt;&gt;"",$H65&lt;&gt;"Done",$H65&lt;&gt;"Cancelled",$J65&lt;TODAY()),"OVERDUE","")</f>
        <v/>
      </c>
      <c r="N65" s="25"/>
      <c r="O65" s="26"/>
      <c r="P65" s="25"/>
    </row>
    <row r="66" customFormat="false" ht="15" hidden="false" customHeight="false" outlineLevel="0" collapsed="false">
      <c r="A66" s="25"/>
      <c r="B66" s="25"/>
      <c r="C66" s="29" t="str">
        <f aca="false">IF($B66="","",IFERROR(INDEX(Projects!$B$5:$B$204,MATCH($B66,Projects!$A$5:$A$204,0)),"Unknown project ID"))</f>
        <v/>
      </c>
      <c r="D66" s="25"/>
      <c r="E66" s="25"/>
      <c r="F66" s="25"/>
      <c r="G66" s="25"/>
      <c r="H66" s="25"/>
      <c r="I66" s="26"/>
      <c r="J66" s="26"/>
      <c r="K66" s="26"/>
      <c r="L66" s="30" t="str">
        <f aca="true">IF(OR($J66="",$H66="Done",$H66="Cancelled"),"",$J66-TODAY())</f>
        <v/>
      </c>
      <c r="M66" s="29" t="str">
        <f aca="true">IF(AND($J66&lt;&gt;"",$H66&lt;&gt;"Done",$H66&lt;&gt;"Cancelled",$J66&lt;TODAY()),"OVERDUE","")</f>
        <v/>
      </c>
      <c r="N66" s="25"/>
      <c r="O66" s="26"/>
      <c r="P66" s="25"/>
    </row>
    <row r="67" customFormat="false" ht="15" hidden="false" customHeight="false" outlineLevel="0" collapsed="false">
      <c r="A67" s="25"/>
      <c r="B67" s="25"/>
      <c r="C67" s="29" t="str">
        <f aca="false">IF($B67="","",IFERROR(INDEX(Projects!$B$5:$B$204,MATCH($B67,Projects!$A$5:$A$204,0)),"Unknown project ID"))</f>
        <v/>
      </c>
      <c r="D67" s="25"/>
      <c r="E67" s="25"/>
      <c r="F67" s="25"/>
      <c r="G67" s="25"/>
      <c r="H67" s="25"/>
      <c r="I67" s="26"/>
      <c r="J67" s="26"/>
      <c r="K67" s="26"/>
      <c r="L67" s="30" t="str">
        <f aca="true">IF(OR($J67="",$H67="Done",$H67="Cancelled"),"",$J67-TODAY())</f>
        <v/>
      </c>
      <c r="M67" s="29" t="str">
        <f aca="true">IF(AND($J67&lt;&gt;"",$H67&lt;&gt;"Done",$H67&lt;&gt;"Cancelled",$J67&lt;TODAY()),"OVERDUE","")</f>
        <v/>
      </c>
      <c r="N67" s="25"/>
      <c r="O67" s="26"/>
      <c r="P67" s="25"/>
    </row>
    <row r="68" customFormat="false" ht="15" hidden="false" customHeight="false" outlineLevel="0" collapsed="false">
      <c r="A68" s="25"/>
      <c r="B68" s="25"/>
      <c r="C68" s="29" t="str">
        <f aca="false">IF($B68="","",IFERROR(INDEX(Projects!$B$5:$B$204,MATCH($B68,Projects!$A$5:$A$204,0)),"Unknown project ID"))</f>
        <v/>
      </c>
      <c r="D68" s="25"/>
      <c r="E68" s="25"/>
      <c r="F68" s="25"/>
      <c r="G68" s="25"/>
      <c r="H68" s="25"/>
      <c r="I68" s="26"/>
      <c r="J68" s="26"/>
      <c r="K68" s="26"/>
      <c r="L68" s="30" t="str">
        <f aca="true">IF(OR($J68="",$H68="Done",$H68="Cancelled"),"",$J68-TODAY())</f>
        <v/>
      </c>
      <c r="M68" s="29" t="str">
        <f aca="true">IF(AND($J68&lt;&gt;"",$H68&lt;&gt;"Done",$H68&lt;&gt;"Cancelled",$J68&lt;TODAY()),"OVERDUE","")</f>
        <v/>
      </c>
      <c r="N68" s="25"/>
      <c r="O68" s="26"/>
      <c r="P68" s="25"/>
    </row>
    <row r="69" customFormat="false" ht="15" hidden="false" customHeight="false" outlineLevel="0" collapsed="false">
      <c r="A69" s="25"/>
      <c r="B69" s="25"/>
      <c r="C69" s="29" t="str">
        <f aca="false">IF($B69="","",IFERROR(INDEX(Projects!$B$5:$B$204,MATCH($B69,Projects!$A$5:$A$204,0)),"Unknown project ID"))</f>
        <v/>
      </c>
      <c r="D69" s="25"/>
      <c r="E69" s="25"/>
      <c r="F69" s="25"/>
      <c r="G69" s="25"/>
      <c r="H69" s="25"/>
      <c r="I69" s="26"/>
      <c r="J69" s="26"/>
      <c r="K69" s="26"/>
      <c r="L69" s="30" t="str">
        <f aca="true">IF(OR($J69="",$H69="Done",$H69="Cancelled"),"",$J69-TODAY())</f>
        <v/>
      </c>
      <c r="M69" s="29" t="str">
        <f aca="true">IF(AND($J69&lt;&gt;"",$H69&lt;&gt;"Done",$H69&lt;&gt;"Cancelled",$J69&lt;TODAY()),"OVERDUE","")</f>
        <v/>
      </c>
      <c r="N69" s="25"/>
      <c r="O69" s="26"/>
      <c r="P69" s="25"/>
    </row>
    <row r="70" customFormat="false" ht="15" hidden="false" customHeight="false" outlineLevel="0" collapsed="false">
      <c r="A70" s="25"/>
      <c r="B70" s="25"/>
      <c r="C70" s="29" t="str">
        <f aca="false">IF($B70="","",IFERROR(INDEX(Projects!$B$5:$B$204,MATCH($B70,Projects!$A$5:$A$204,0)),"Unknown project ID"))</f>
        <v/>
      </c>
      <c r="D70" s="25"/>
      <c r="E70" s="25"/>
      <c r="F70" s="25"/>
      <c r="G70" s="25"/>
      <c r="H70" s="25"/>
      <c r="I70" s="26"/>
      <c r="J70" s="26"/>
      <c r="K70" s="26"/>
      <c r="L70" s="30" t="str">
        <f aca="true">IF(OR($J70="",$H70="Done",$H70="Cancelled"),"",$J70-TODAY())</f>
        <v/>
      </c>
      <c r="M70" s="29" t="str">
        <f aca="true">IF(AND($J70&lt;&gt;"",$H70&lt;&gt;"Done",$H70&lt;&gt;"Cancelled",$J70&lt;TODAY()),"OVERDUE","")</f>
        <v/>
      </c>
      <c r="N70" s="25"/>
      <c r="O70" s="26"/>
      <c r="P70" s="25"/>
    </row>
    <row r="71" customFormat="false" ht="15" hidden="false" customHeight="false" outlineLevel="0" collapsed="false">
      <c r="A71" s="25"/>
      <c r="B71" s="25"/>
      <c r="C71" s="29" t="str">
        <f aca="false">IF($B71="","",IFERROR(INDEX(Projects!$B$5:$B$204,MATCH($B71,Projects!$A$5:$A$204,0)),"Unknown project ID"))</f>
        <v/>
      </c>
      <c r="D71" s="25"/>
      <c r="E71" s="25"/>
      <c r="F71" s="25"/>
      <c r="G71" s="25"/>
      <c r="H71" s="25"/>
      <c r="I71" s="26"/>
      <c r="J71" s="26"/>
      <c r="K71" s="26"/>
      <c r="L71" s="30" t="str">
        <f aca="true">IF(OR($J71="",$H71="Done",$H71="Cancelled"),"",$J71-TODAY())</f>
        <v/>
      </c>
      <c r="M71" s="29" t="str">
        <f aca="true">IF(AND($J71&lt;&gt;"",$H71&lt;&gt;"Done",$H71&lt;&gt;"Cancelled",$J71&lt;TODAY()),"OVERDUE","")</f>
        <v/>
      </c>
      <c r="N71" s="25"/>
      <c r="O71" s="26"/>
      <c r="P71" s="25"/>
    </row>
    <row r="72" customFormat="false" ht="15" hidden="false" customHeight="false" outlineLevel="0" collapsed="false">
      <c r="A72" s="25"/>
      <c r="B72" s="25"/>
      <c r="C72" s="29" t="str">
        <f aca="false">IF($B72="","",IFERROR(INDEX(Projects!$B$5:$B$204,MATCH($B72,Projects!$A$5:$A$204,0)),"Unknown project ID"))</f>
        <v/>
      </c>
      <c r="D72" s="25"/>
      <c r="E72" s="25"/>
      <c r="F72" s="25"/>
      <c r="G72" s="25"/>
      <c r="H72" s="25"/>
      <c r="I72" s="26"/>
      <c r="J72" s="26"/>
      <c r="K72" s="26"/>
      <c r="L72" s="30" t="str">
        <f aca="true">IF(OR($J72="",$H72="Done",$H72="Cancelled"),"",$J72-TODAY())</f>
        <v/>
      </c>
      <c r="M72" s="29" t="str">
        <f aca="true">IF(AND($J72&lt;&gt;"",$H72&lt;&gt;"Done",$H72&lt;&gt;"Cancelled",$J72&lt;TODAY()),"OVERDUE","")</f>
        <v/>
      </c>
      <c r="N72" s="25"/>
      <c r="O72" s="26"/>
      <c r="P72" s="25"/>
    </row>
    <row r="73" customFormat="false" ht="15" hidden="false" customHeight="false" outlineLevel="0" collapsed="false">
      <c r="A73" s="25"/>
      <c r="B73" s="25"/>
      <c r="C73" s="29" t="str">
        <f aca="false">IF($B73="","",IFERROR(INDEX(Projects!$B$5:$B$204,MATCH($B73,Projects!$A$5:$A$204,0)),"Unknown project ID"))</f>
        <v/>
      </c>
      <c r="D73" s="25"/>
      <c r="E73" s="25"/>
      <c r="F73" s="25"/>
      <c r="G73" s="25"/>
      <c r="H73" s="25"/>
      <c r="I73" s="26"/>
      <c r="J73" s="26"/>
      <c r="K73" s="26"/>
      <c r="L73" s="30" t="str">
        <f aca="true">IF(OR($J73="",$H73="Done",$H73="Cancelled"),"",$J73-TODAY())</f>
        <v/>
      </c>
      <c r="M73" s="29" t="str">
        <f aca="true">IF(AND($J73&lt;&gt;"",$H73&lt;&gt;"Done",$H73&lt;&gt;"Cancelled",$J73&lt;TODAY()),"OVERDUE","")</f>
        <v/>
      </c>
      <c r="N73" s="25"/>
      <c r="O73" s="26"/>
      <c r="P73" s="25"/>
    </row>
    <row r="74" customFormat="false" ht="15" hidden="false" customHeight="false" outlineLevel="0" collapsed="false">
      <c r="A74" s="25"/>
      <c r="B74" s="25"/>
      <c r="C74" s="29" t="str">
        <f aca="false">IF($B74="","",IFERROR(INDEX(Projects!$B$5:$B$204,MATCH($B74,Projects!$A$5:$A$204,0)),"Unknown project ID"))</f>
        <v/>
      </c>
      <c r="D74" s="25"/>
      <c r="E74" s="25"/>
      <c r="F74" s="25"/>
      <c r="G74" s="25"/>
      <c r="H74" s="25"/>
      <c r="I74" s="26"/>
      <c r="J74" s="26"/>
      <c r="K74" s="26"/>
      <c r="L74" s="30" t="str">
        <f aca="true">IF(OR($J74="",$H74="Done",$H74="Cancelled"),"",$J74-TODAY())</f>
        <v/>
      </c>
      <c r="M74" s="29" t="str">
        <f aca="true">IF(AND($J74&lt;&gt;"",$H74&lt;&gt;"Done",$H74&lt;&gt;"Cancelled",$J74&lt;TODAY()),"OVERDUE","")</f>
        <v/>
      </c>
      <c r="N74" s="25"/>
      <c r="O74" s="26"/>
      <c r="P74" s="25"/>
    </row>
    <row r="75" customFormat="false" ht="15" hidden="false" customHeight="false" outlineLevel="0" collapsed="false">
      <c r="A75" s="25"/>
      <c r="B75" s="25"/>
      <c r="C75" s="29" t="str">
        <f aca="false">IF($B75="","",IFERROR(INDEX(Projects!$B$5:$B$204,MATCH($B75,Projects!$A$5:$A$204,0)),"Unknown project ID"))</f>
        <v/>
      </c>
      <c r="D75" s="25"/>
      <c r="E75" s="25"/>
      <c r="F75" s="25"/>
      <c r="G75" s="25"/>
      <c r="H75" s="25"/>
      <c r="I75" s="26"/>
      <c r="J75" s="26"/>
      <c r="K75" s="26"/>
      <c r="L75" s="30" t="str">
        <f aca="true">IF(OR($J75="",$H75="Done",$H75="Cancelled"),"",$J75-TODAY())</f>
        <v/>
      </c>
      <c r="M75" s="29" t="str">
        <f aca="true">IF(AND($J75&lt;&gt;"",$H75&lt;&gt;"Done",$H75&lt;&gt;"Cancelled",$J75&lt;TODAY()),"OVERDUE","")</f>
        <v/>
      </c>
      <c r="N75" s="25"/>
      <c r="O75" s="26"/>
      <c r="P75" s="25"/>
    </row>
    <row r="76" customFormat="false" ht="15" hidden="false" customHeight="false" outlineLevel="0" collapsed="false">
      <c r="A76" s="25"/>
      <c r="B76" s="25"/>
      <c r="C76" s="29" t="str">
        <f aca="false">IF($B76="","",IFERROR(INDEX(Projects!$B$5:$B$204,MATCH($B76,Projects!$A$5:$A$204,0)),"Unknown project ID"))</f>
        <v/>
      </c>
      <c r="D76" s="25"/>
      <c r="E76" s="25"/>
      <c r="F76" s="25"/>
      <c r="G76" s="25"/>
      <c r="H76" s="25"/>
      <c r="I76" s="26"/>
      <c r="J76" s="26"/>
      <c r="K76" s="26"/>
      <c r="L76" s="30" t="str">
        <f aca="true">IF(OR($J76="",$H76="Done",$H76="Cancelled"),"",$J76-TODAY())</f>
        <v/>
      </c>
      <c r="M76" s="29" t="str">
        <f aca="true">IF(AND($J76&lt;&gt;"",$H76&lt;&gt;"Done",$H76&lt;&gt;"Cancelled",$J76&lt;TODAY()),"OVERDUE","")</f>
        <v/>
      </c>
      <c r="N76" s="25"/>
      <c r="O76" s="26"/>
      <c r="P76" s="25"/>
    </row>
    <row r="77" customFormat="false" ht="15" hidden="false" customHeight="false" outlineLevel="0" collapsed="false">
      <c r="A77" s="25"/>
      <c r="B77" s="25"/>
      <c r="C77" s="29" t="str">
        <f aca="false">IF($B77="","",IFERROR(INDEX(Projects!$B$5:$B$204,MATCH($B77,Projects!$A$5:$A$204,0)),"Unknown project ID"))</f>
        <v/>
      </c>
      <c r="D77" s="25"/>
      <c r="E77" s="25"/>
      <c r="F77" s="25"/>
      <c r="G77" s="25"/>
      <c r="H77" s="25"/>
      <c r="I77" s="26"/>
      <c r="J77" s="26"/>
      <c r="K77" s="26"/>
      <c r="L77" s="30" t="str">
        <f aca="true">IF(OR($J77="",$H77="Done",$H77="Cancelled"),"",$J77-TODAY())</f>
        <v/>
      </c>
      <c r="M77" s="29" t="str">
        <f aca="true">IF(AND($J77&lt;&gt;"",$H77&lt;&gt;"Done",$H77&lt;&gt;"Cancelled",$J77&lt;TODAY()),"OVERDUE","")</f>
        <v/>
      </c>
      <c r="N77" s="25"/>
      <c r="O77" s="26"/>
      <c r="P77" s="25"/>
    </row>
    <row r="78" customFormat="false" ht="15" hidden="false" customHeight="false" outlineLevel="0" collapsed="false">
      <c r="A78" s="25"/>
      <c r="B78" s="25"/>
      <c r="C78" s="29" t="str">
        <f aca="false">IF($B78="","",IFERROR(INDEX(Projects!$B$5:$B$204,MATCH($B78,Projects!$A$5:$A$204,0)),"Unknown project ID"))</f>
        <v/>
      </c>
      <c r="D78" s="25"/>
      <c r="E78" s="25"/>
      <c r="F78" s="25"/>
      <c r="G78" s="25"/>
      <c r="H78" s="25"/>
      <c r="I78" s="26"/>
      <c r="J78" s="26"/>
      <c r="K78" s="26"/>
      <c r="L78" s="30" t="str">
        <f aca="true">IF(OR($J78="",$H78="Done",$H78="Cancelled"),"",$J78-TODAY())</f>
        <v/>
      </c>
      <c r="M78" s="29" t="str">
        <f aca="true">IF(AND($J78&lt;&gt;"",$H78&lt;&gt;"Done",$H78&lt;&gt;"Cancelled",$J78&lt;TODAY()),"OVERDUE","")</f>
        <v/>
      </c>
      <c r="N78" s="25"/>
      <c r="O78" s="26"/>
      <c r="P78" s="25"/>
    </row>
    <row r="79" customFormat="false" ht="15" hidden="false" customHeight="false" outlineLevel="0" collapsed="false">
      <c r="A79" s="25"/>
      <c r="B79" s="25"/>
      <c r="C79" s="29" t="str">
        <f aca="false">IF($B79="","",IFERROR(INDEX(Projects!$B$5:$B$204,MATCH($B79,Projects!$A$5:$A$204,0)),"Unknown project ID"))</f>
        <v/>
      </c>
      <c r="D79" s="25"/>
      <c r="E79" s="25"/>
      <c r="F79" s="25"/>
      <c r="G79" s="25"/>
      <c r="H79" s="25"/>
      <c r="I79" s="26"/>
      <c r="J79" s="26"/>
      <c r="K79" s="26"/>
      <c r="L79" s="30" t="str">
        <f aca="true">IF(OR($J79="",$H79="Done",$H79="Cancelled"),"",$J79-TODAY())</f>
        <v/>
      </c>
      <c r="M79" s="29" t="str">
        <f aca="true">IF(AND($J79&lt;&gt;"",$H79&lt;&gt;"Done",$H79&lt;&gt;"Cancelled",$J79&lt;TODAY()),"OVERDUE","")</f>
        <v/>
      </c>
      <c r="N79" s="25"/>
      <c r="O79" s="26"/>
      <c r="P79" s="25"/>
    </row>
    <row r="80" customFormat="false" ht="15" hidden="false" customHeight="false" outlineLevel="0" collapsed="false">
      <c r="A80" s="25"/>
      <c r="B80" s="25"/>
      <c r="C80" s="29" t="str">
        <f aca="false">IF($B80="","",IFERROR(INDEX(Projects!$B$5:$B$204,MATCH($B80,Projects!$A$5:$A$204,0)),"Unknown project ID"))</f>
        <v/>
      </c>
      <c r="D80" s="25"/>
      <c r="E80" s="25"/>
      <c r="F80" s="25"/>
      <c r="G80" s="25"/>
      <c r="H80" s="25"/>
      <c r="I80" s="26"/>
      <c r="J80" s="26"/>
      <c r="K80" s="26"/>
      <c r="L80" s="30" t="str">
        <f aca="true">IF(OR($J80="",$H80="Done",$H80="Cancelled"),"",$J80-TODAY())</f>
        <v/>
      </c>
      <c r="M80" s="29" t="str">
        <f aca="true">IF(AND($J80&lt;&gt;"",$H80&lt;&gt;"Done",$H80&lt;&gt;"Cancelled",$J80&lt;TODAY()),"OVERDUE","")</f>
        <v/>
      </c>
      <c r="N80" s="25"/>
      <c r="O80" s="26"/>
      <c r="P80" s="25"/>
    </row>
    <row r="81" customFormat="false" ht="15" hidden="false" customHeight="false" outlineLevel="0" collapsed="false">
      <c r="A81" s="25"/>
      <c r="B81" s="25"/>
      <c r="C81" s="29" t="str">
        <f aca="false">IF($B81="","",IFERROR(INDEX(Projects!$B$5:$B$204,MATCH($B81,Projects!$A$5:$A$204,0)),"Unknown project ID"))</f>
        <v/>
      </c>
      <c r="D81" s="25"/>
      <c r="E81" s="25"/>
      <c r="F81" s="25"/>
      <c r="G81" s="25"/>
      <c r="H81" s="25"/>
      <c r="I81" s="26"/>
      <c r="J81" s="26"/>
      <c r="K81" s="26"/>
      <c r="L81" s="30" t="str">
        <f aca="true">IF(OR($J81="",$H81="Done",$H81="Cancelled"),"",$J81-TODAY())</f>
        <v/>
      </c>
      <c r="M81" s="29" t="str">
        <f aca="true">IF(AND($J81&lt;&gt;"",$H81&lt;&gt;"Done",$H81&lt;&gt;"Cancelled",$J81&lt;TODAY()),"OVERDUE","")</f>
        <v/>
      </c>
      <c r="N81" s="25"/>
      <c r="O81" s="26"/>
      <c r="P81" s="25"/>
    </row>
    <row r="82" customFormat="false" ht="15" hidden="false" customHeight="false" outlineLevel="0" collapsed="false">
      <c r="A82" s="25"/>
      <c r="B82" s="25"/>
      <c r="C82" s="29" t="str">
        <f aca="false">IF($B82="","",IFERROR(INDEX(Projects!$B$5:$B$204,MATCH($B82,Projects!$A$5:$A$204,0)),"Unknown project ID"))</f>
        <v/>
      </c>
      <c r="D82" s="25"/>
      <c r="E82" s="25"/>
      <c r="F82" s="25"/>
      <c r="G82" s="25"/>
      <c r="H82" s="25"/>
      <c r="I82" s="26"/>
      <c r="J82" s="26"/>
      <c r="K82" s="26"/>
      <c r="L82" s="30" t="str">
        <f aca="true">IF(OR($J82="",$H82="Done",$H82="Cancelled"),"",$J82-TODAY())</f>
        <v/>
      </c>
      <c r="M82" s="29" t="str">
        <f aca="true">IF(AND($J82&lt;&gt;"",$H82&lt;&gt;"Done",$H82&lt;&gt;"Cancelled",$J82&lt;TODAY()),"OVERDUE","")</f>
        <v/>
      </c>
      <c r="N82" s="25"/>
      <c r="O82" s="26"/>
      <c r="P82" s="25"/>
    </row>
    <row r="83" customFormat="false" ht="15" hidden="false" customHeight="false" outlineLevel="0" collapsed="false">
      <c r="A83" s="25"/>
      <c r="B83" s="25"/>
      <c r="C83" s="29" t="str">
        <f aca="false">IF($B83="","",IFERROR(INDEX(Projects!$B$5:$B$204,MATCH($B83,Projects!$A$5:$A$204,0)),"Unknown project ID"))</f>
        <v/>
      </c>
      <c r="D83" s="25"/>
      <c r="E83" s="25"/>
      <c r="F83" s="25"/>
      <c r="G83" s="25"/>
      <c r="H83" s="25"/>
      <c r="I83" s="26"/>
      <c r="J83" s="26"/>
      <c r="K83" s="26"/>
      <c r="L83" s="30" t="str">
        <f aca="true">IF(OR($J83="",$H83="Done",$H83="Cancelled"),"",$J83-TODAY())</f>
        <v/>
      </c>
      <c r="M83" s="29" t="str">
        <f aca="true">IF(AND($J83&lt;&gt;"",$H83&lt;&gt;"Done",$H83&lt;&gt;"Cancelled",$J83&lt;TODAY()),"OVERDUE","")</f>
        <v/>
      </c>
      <c r="N83" s="25"/>
      <c r="O83" s="26"/>
      <c r="P83" s="25"/>
    </row>
    <row r="84" customFormat="false" ht="15" hidden="false" customHeight="false" outlineLevel="0" collapsed="false">
      <c r="A84" s="25"/>
      <c r="B84" s="25"/>
      <c r="C84" s="29" t="str">
        <f aca="false">IF($B84="","",IFERROR(INDEX(Projects!$B$5:$B$204,MATCH($B84,Projects!$A$5:$A$204,0)),"Unknown project ID"))</f>
        <v/>
      </c>
      <c r="D84" s="25"/>
      <c r="E84" s="25"/>
      <c r="F84" s="25"/>
      <c r="G84" s="25"/>
      <c r="H84" s="25"/>
      <c r="I84" s="26"/>
      <c r="J84" s="26"/>
      <c r="K84" s="26"/>
      <c r="L84" s="30" t="str">
        <f aca="true">IF(OR($J84="",$H84="Done",$H84="Cancelled"),"",$J84-TODAY())</f>
        <v/>
      </c>
      <c r="M84" s="29" t="str">
        <f aca="true">IF(AND($J84&lt;&gt;"",$H84&lt;&gt;"Done",$H84&lt;&gt;"Cancelled",$J84&lt;TODAY()),"OVERDUE","")</f>
        <v/>
      </c>
      <c r="N84" s="25"/>
      <c r="O84" s="26"/>
      <c r="P84" s="25"/>
    </row>
    <row r="85" customFormat="false" ht="15" hidden="false" customHeight="false" outlineLevel="0" collapsed="false">
      <c r="A85" s="25"/>
      <c r="B85" s="25"/>
      <c r="C85" s="29" t="str">
        <f aca="false">IF($B85="","",IFERROR(INDEX(Projects!$B$5:$B$204,MATCH($B85,Projects!$A$5:$A$204,0)),"Unknown project ID"))</f>
        <v/>
      </c>
      <c r="D85" s="25"/>
      <c r="E85" s="25"/>
      <c r="F85" s="25"/>
      <c r="G85" s="25"/>
      <c r="H85" s="25"/>
      <c r="I85" s="26"/>
      <c r="J85" s="26"/>
      <c r="K85" s="26"/>
      <c r="L85" s="30" t="str">
        <f aca="true">IF(OR($J85="",$H85="Done",$H85="Cancelled"),"",$J85-TODAY())</f>
        <v/>
      </c>
      <c r="M85" s="29" t="str">
        <f aca="true">IF(AND($J85&lt;&gt;"",$H85&lt;&gt;"Done",$H85&lt;&gt;"Cancelled",$J85&lt;TODAY()),"OVERDUE","")</f>
        <v/>
      </c>
      <c r="N85" s="25"/>
      <c r="O85" s="26"/>
      <c r="P85" s="25"/>
    </row>
    <row r="86" customFormat="false" ht="15" hidden="false" customHeight="false" outlineLevel="0" collapsed="false">
      <c r="A86" s="25"/>
      <c r="B86" s="25"/>
      <c r="C86" s="29" t="str">
        <f aca="false">IF($B86="","",IFERROR(INDEX(Projects!$B$5:$B$204,MATCH($B86,Projects!$A$5:$A$204,0)),"Unknown project ID"))</f>
        <v/>
      </c>
      <c r="D86" s="25"/>
      <c r="E86" s="25"/>
      <c r="F86" s="25"/>
      <c r="G86" s="25"/>
      <c r="H86" s="25"/>
      <c r="I86" s="26"/>
      <c r="J86" s="26"/>
      <c r="K86" s="26"/>
      <c r="L86" s="30" t="str">
        <f aca="true">IF(OR($J86="",$H86="Done",$H86="Cancelled"),"",$J86-TODAY())</f>
        <v/>
      </c>
      <c r="M86" s="29" t="str">
        <f aca="true">IF(AND($J86&lt;&gt;"",$H86&lt;&gt;"Done",$H86&lt;&gt;"Cancelled",$J86&lt;TODAY()),"OVERDUE","")</f>
        <v/>
      </c>
      <c r="N86" s="25"/>
      <c r="O86" s="26"/>
      <c r="P86" s="25"/>
    </row>
    <row r="87" customFormat="false" ht="15" hidden="false" customHeight="false" outlineLevel="0" collapsed="false">
      <c r="A87" s="25"/>
      <c r="B87" s="25"/>
      <c r="C87" s="29" t="str">
        <f aca="false">IF($B87="","",IFERROR(INDEX(Projects!$B$5:$B$204,MATCH($B87,Projects!$A$5:$A$204,0)),"Unknown project ID"))</f>
        <v/>
      </c>
      <c r="D87" s="25"/>
      <c r="E87" s="25"/>
      <c r="F87" s="25"/>
      <c r="G87" s="25"/>
      <c r="H87" s="25"/>
      <c r="I87" s="26"/>
      <c r="J87" s="26"/>
      <c r="K87" s="26"/>
      <c r="L87" s="30" t="str">
        <f aca="true">IF(OR($J87="",$H87="Done",$H87="Cancelled"),"",$J87-TODAY())</f>
        <v/>
      </c>
      <c r="M87" s="29" t="str">
        <f aca="true">IF(AND($J87&lt;&gt;"",$H87&lt;&gt;"Done",$H87&lt;&gt;"Cancelled",$J87&lt;TODAY()),"OVERDUE","")</f>
        <v/>
      </c>
      <c r="N87" s="25"/>
      <c r="O87" s="26"/>
      <c r="P87" s="25"/>
    </row>
    <row r="88" customFormat="false" ht="15" hidden="false" customHeight="false" outlineLevel="0" collapsed="false">
      <c r="A88" s="25"/>
      <c r="B88" s="25"/>
      <c r="C88" s="29" t="str">
        <f aca="false">IF($B88="","",IFERROR(INDEX(Projects!$B$5:$B$204,MATCH($B88,Projects!$A$5:$A$204,0)),"Unknown project ID"))</f>
        <v/>
      </c>
      <c r="D88" s="25"/>
      <c r="E88" s="25"/>
      <c r="F88" s="25"/>
      <c r="G88" s="25"/>
      <c r="H88" s="25"/>
      <c r="I88" s="26"/>
      <c r="J88" s="26"/>
      <c r="K88" s="26"/>
      <c r="L88" s="30" t="str">
        <f aca="true">IF(OR($J88="",$H88="Done",$H88="Cancelled"),"",$J88-TODAY())</f>
        <v/>
      </c>
      <c r="M88" s="29" t="str">
        <f aca="true">IF(AND($J88&lt;&gt;"",$H88&lt;&gt;"Done",$H88&lt;&gt;"Cancelled",$J88&lt;TODAY()),"OVERDUE","")</f>
        <v/>
      </c>
      <c r="N88" s="25"/>
      <c r="O88" s="26"/>
      <c r="P88" s="25"/>
    </row>
    <row r="89" customFormat="false" ht="15" hidden="false" customHeight="false" outlineLevel="0" collapsed="false">
      <c r="A89" s="25"/>
      <c r="B89" s="25"/>
      <c r="C89" s="29" t="str">
        <f aca="false">IF($B89="","",IFERROR(INDEX(Projects!$B$5:$B$204,MATCH($B89,Projects!$A$5:$A$204,0)),"Unknown project ID"))</f>
        <v/>
      </c>
      <c r="D89" s="25"/>
      <c r="E89" s="25"/>
      <c r="F89" s="25"/>
      <c r="G89" s="25"/>
      <c r="H89" s="25"/>
      <c r="I89" s="26"/>
      <c r="J89" s="26"/>
      <c r="K89" s="26"/>
      <c r="L89" s="30" t="str">
        <f aca="true">IF(OR($J89="",$H89="Done",$H89="Cancelled"),"",$J89-TODAY())</f>
        <v/>
      </c>
      <c r="M89" s="29" t="str">
        <f aca="true">IF(AND($J89&lt;&gt;"",$H89&lt;&gt;"Done",$H89&lt;&gt;"Cancelled",$J89&lt;TODAY()),"OVERDUE","")</f>
        <v/>
      </c>
      <c r="N89" s="25"/>
      <c r="O89" s="26"/>
      <c r="P89" s="25"/>
    </row>
    <row r="90" customFormat="false" ht="15" hidden="false" customHeight="false" outlineLevel="0" collapsed="false">
      <c r="A90" s="25"/>
      <c r="B90" s="25"/>
      <c r="C90" s="29" t="str">
        <f aca="false">IF($B90="","",IFERROR(INDEX(Projects!$B$5:$B$204,MATCH($B90,Projects!$A$5:$A$204,0)),"Unknown project ID"))</f>
        <v/>
      </c>
      <c r="D90" s="25"/>
      <c r="E90" s="25"/>
      <c r="F90" s="25"/>
      <c r="G90" s="25"/>
      <c r="H90" s="25"/>
      <c r="I90" s="26"/>
      <c r="J90" s="26"/>
      <c r="K90" s="26"/>
      <c r="L90" s="30" t="str">
        <f aca="true">IF(OR($J90="",$H90="Done",$H90="Cancelled"),"",$J90-TODAY())</f>
        <v/>
      </c>
      <c r="M90" s="29" t="str">
        <f aca="true">IF(AND($J90&lt;&gt;"",$H90&lt;&gt;"Done",$H90&lt;&gt;"Cancelled",$J90&lt;TODAY()),"OVERDUE","")</f>
        <v/>
      </c>
      <c r="N90" s="25"/>
      <c r="O90" s="26"/>
      <c r="P90" s="25"/>
    </row>
    <row r="91" customFormat="false" ht="15" hidden="false" customHeight="false" outlineLevel="0" collapsed="false">
      <c r="A91" s="25"/>
      <c r="B91" s="25"/>
      <c r="C91" s="29" t="str">
        <f aca="false">IF($B91="","",IFERROR(INDEX(Projects!$B$5:$B$204,MATCH($B91,Projects!$A$5:$A$204,0)),"Unknown project ID"))</f>
        <v/>
      </c>
      <c r="D91" s="25"/>
      <c r="E91" s="25"/>
      <c r="F91" s="25"/>
      <c r="G91" s="25"/>
      <c r="H91" s="25"/>
      <c r="I91" s="26"/>
      <c r="J91" s="26"/>
      <c r="K91" s="26"/>
      <c r="L91" s="30" t="str">
        <f aca="true">IF(OR($J91="",$H91="Done",$H91="Cancelled"),"",$J91-TODAY())</f>
        <v/>
      </c>
      <c r="M91" s="29" t="str">
        <f aca="true">IF(AND($J91&lt;&gt;"",$H91&lt;&gt;"Done",$H91&lt;&gt;"Cancelled",$J91&lt;TODAY()),"OVERDUE","")</f>
        <v/>
      </c>
      <c r="N91" s="25"/>
      <c r="O91" s="26"/>
      <c r="P91" s="25"/>
    </row>
    <row r="92" customFormat="false" ht="15" hidden="false" customHeight="false" outlineLevel="0" collapsed="false">
      <c r="A92" s="25"/>
      <c r="B92" s="25"/>
      <c r="C92" s="29" t="str">
        <f aca="false">IF($B92="","",IFERROR(INDEX(Projects!$B$5:$B$204,MATCH($B92,Projects!$A$5:$A$204,0)),"Unknown project ID"))</f>
        <v/>
      </c>
      <c r="D92" s="25"/>
      <c r="E92" s="25"/>
      <c r="F92" s="25"/>
      <c r="G92" s="25"/>
      <c r="H92" s="25"/>
      <c r="I92" s="26"/>
      <c r="J92" s="26"/>
      <c r="K92" s="26"/>
      <c r="L92" s="30" t="str">
        <f aca="true">IF(OR($J92="",$H92="Done",$H92="Cancelled"),"",$J92-TODAY())</f>
        <v/>
      </c>
      <c r="M92" s="29" t="str">
        <f aca="true">IF(AND($J92&lt;&gt;"",$H92&lt;&gt;"Done",$H92&lt;&gt;"Cancelled",$J92&lt;TODAY()),"OVERDUE","")</f>
        <v/>
      </c>
      <c r="N92" s="25"/>
      <c r="O92" s="26"/>
      <c r="P92" s="25"/>
    </row>
    <row r="93" customFormat="false" ht="15" hidden="false" customHeight="false" outlineLevel="0" collapsed="false">
      <c r="A93" s="25"/>
      <c r="B93" s="25"/>
      <c r="C93" s="29" t="str">
        <f aca="false">IF($B93="","",IFERROR(INDEX(Projects!$B$5:$B$204,MATCH($B93,Projects!$A$5:$A$204,0)),"Unknown project ID"))</f>
        <v/>
      </c>
      <c r="D93" s="25"/>
      <c r="E93" s="25"/>
      <c r="F93" s="25"/>
      <c r="G93" s="25"/>
      <c r="H93" s="25"/>
      <c r="I93" s="26"/>
      <c r="J93" s="26"/>
      <c r="K93" s="26"/>
      <c r="L93" s="30" t="str">
        <f aca="true">IF(OR($J93="",$H93="Done",$H93="Cancelled"),"",$J93-TODAY())</f>
        <v/>
      </c>
      <c r="M93" s="29" t="str">
        <f aca="true">IF(AND($J93&lt;&gt;"",$H93&lt;&gt;"Done",$H93&lt;&gt;"Cancelled",$J93&lt;TODAY()),"OVERDUE","")</f>
        <v/>
      </c>
      <c r="N93" s="25"/>
      <c r="O93" s="26"/>
      <c r="P93" s="25"/>
    </row>
    <row r="94" customFormat="false" ht="15" hidden="false" customHeight="false" outlineLevel="0" collapsed="false">
      <c r="A94" s="25"/>
      <c r="B94" s="25"/>
      <c r="C94" s="29" t="str">
        <f aca="false">IF($B94="","",IFERROR(INDEX(Projects!$B$5:$B$204,MATCH($B94,Projects!$A$5:$A$204,0)),"Unknown project ID"))</f>
        <v/>
      </c>
      <c r="D94" s="25"/>
      <c r="E94" s="25"/>
      <c r="F94" s="25"/>
      <c r="G94" s="25"/>
      <c r="H94" s="25"/>
      <c r="I94" s="26"/>
      <c r="J94" s="26"/>
      <c r="K94" s="26"/>
      <c r="L94" s="30" t="str">
        <f aca="true">IF(OR($J94="",$H94="Done",$H94="Cancelled"),"",$J94-TODAY())</f>
        <v/>
      </c>
      <c r="M94" s="29" t="str">
        <f aca="true">IF(AND($J94&lt;&gt;"",$H94&lt;&gt;"Done",$H94&lt;&gt;"Cancelled",$J94&lt;TODAY()),"OVERDUE","")</f>
        <v/>
      </c>
      <c r="N94" s="25"/>
      <c r="O94" s="26"/>
      <c r="P94" s="25"/>
    </row>
    <row r="95" customFormat="false" ht="15" hidden="false" customHeight="false" outlineLevel="0" collapsed="false">
      <c r="A95" s="25"/>
      <c r="B95" s="25"/>
      <c r="C95" s="29" t="str">
        <f aca="false">IF($B95="","",IFERROR(INDEX(Projects!$B$5:$B$204,MATCH($B95,Projects!$A$5:$A$204,0)),"Unknown project ID"))</f>
        <v/>
      </c>
      <c r="D95" s="25"/>
      <c r="E95" s="25"/>
      <c r="F95" s="25"/>
      <c r="G95" s="25"/>
      <c r="H95" s="25"/>
      <c r="I95" s="26"/>
      <c r="J95" s="26"/>
      <c r="K95" s="26"/>
      <c r="L95" s="30" t="str">
        <f aca="true">IF(OR($J95="",$H95="Done",$H95="Cancelled"),"",$J95-TODAY())</f>
        <v/>
      </c>
      <c r="M95" s="29" t="str">
        <f aca="true">IF(AND($J95&lt;&gt;"",$H95&lt;&gt;"Done",$H95&lt;&gt;"Cancelled",$J95&lt;TODAY()),"OVERDUE","")</f>
        <v/>
      </c>
      <c r="N95" s="25"/>
      <c r="O95" s="26"/>
      <c r="P95" s="25"/>
    </row>
    <row r="96" customFormat="false" ht="15" hidden="false" customHeight="false" outlineLevel="0" collapsed="false">
      <c r="A96" s="25"/>
      <c r="B96" s="25"/>
      <c r="C96" s="29" t="str">
        <f aca="false">IF($B96="","",IFERROR(INDEX(Projects!$B$5:$B$204,MATCH($B96,Projects!$A$5:$A$204,0)),"Unknown project ID"))</f>
        <v/>
      </c>
      <c r="D96" s="25"/>
      <c r="E96" s="25"/>
      <c r="F96" s="25"/>
      <c r="G96" s="25"/>
      <c r="H96" s="25"/>
      <c r="I96" s="26"/>
      <c r="J96" s="26"/>
      <c r="K96" s="26"/>
      <c r="L96" s="30" t="str">
        <f aca="true">IF(OR($J96="",$H96="Done",$H96="Cancelled"),"",$J96-TODAY())</f>
        <v/>
      </c>
      <c r="M96" s="29" t="str">
        <f aca="true">IF(AND($J96&lt;&gt;"",$H96&lt;&gt;"Done",$H96&lt;&gt;"Cancelled",$J96&lt;TODAY()),"OVERDUE","")</f>
        <v/>
      </c>
      <c r="N96" s="25"/>
      <c r="O96" s="26"/>
      <c r="P96" s="25"/>
    </row>
    <row r="97" customFormat="false" ht="15" hidden="false" customHeight="false" outlineLevel="0" collapsed="false">
      <c r="A97" s="25"/>
      <c r="B97" s="25"/>
      <c r="C97" s="29" t="str">
        <f aca="false">IF($B97="","",IFERROR(INDEX(Projects!$B$5:$B$204,MATCH($B97,Projects!$A$5:$A$204,0)),"Unknown project ID"))</f>
        <v/>
      </c>
      <c r="D97" s="25"/>
      <c r="E97" s="25"/>
      <c r="F97" s="25"/>
      <c r="G97" s="25"/>
      <c r="H97" s="25"/>
      <c r="I97" s="26"/>
      <c r="J97" s="26"/>
      <c r="K97" s="26"/>
      <c r="L97" s="30" t="str">
        <f aca="true">IF(OR($J97="",$H97="Done",$H97="Cancelled"),"",$J97-TODAY())</f>
        <v/>
      </c>
      <c r="M97" s="29" t="str">
        <f aca="true">IF(AND($J97&lt;&gt;"",$H97&lt;&gt;"Done",$H97&lt;&gt;"Cancelled",$J97&lt;TODAY()),"OVERDUE","")</f>
        <v/>
      </c>
      <c r="N97" s="25"/>
      <c r="O97" s="26"/>
      <c r="P97" s="25"/>
    </row>
    <row r="98" customFormat="false" ht="15" hidden="false" customHeight="false" outlineLevel="0" collapsed="false">
      <c r="A98" s="25"/>
      <c r="B98" s="25"/>
      <c r="C98" s="29" t="str">
        <f aca="false">IF($B98="","",IFERROR(INDEX(Projects!$B$5:$B$204,MATCH($B98,Projects!$A$5:$A$204,0)),"Unknown project ID"))</f>
        <v/>
      </c>
      <c r="D98" s="25"/>
      <c r="E98" s="25"/>
      <c r="F98" s="25"/>
      <c r="G98" s="25"/>
      <c r="H98" s="25"/>
      <c r="I98" s="26"/>
      <c r="J98" s="26"/>
      <c r="K98" s="26"/>
      <c r="L98" s="30" t="str">
        <f aca="true">IF(OR($J98="",$H98="Done",$H98="Cancelled"),"",$J98-TODAY())</f>
        <v/>
      </c>
      <c r="M98" s="29" t="str">
        <f aca="true">IF(AND($J98&lt;&gt;"",$H98&lt;&gt;"Done",$H98&lt;&gt;"Cancelled",$J98&lt;TODAY()),"OVERDUE","")</f>
        <v/>
      </c>
      <c r="N98" s="25"/>
      <c r="O98" s="26"/>
      <c r="P98" s="25"/>
    </row>
    <row r="99" customFormat="false" ht="15" hidden="false" customHeight="false" outlineLevel="0" collapsed="false">
      <c r="A99" s="25"/>
      <c r="B99" s="25"/>
      <c r="C99" s="29" t="str">
        <f aca="false">IF($B99="","",IFERROR(INDEX(Projects!$B$5:$B$204,MATCH($B99,Projects!$A$5:$A$204,0)),"Unknown project ID"))</f>
        <v/>
      </c>
      <c r="D99" s="25"/>
      <c r="E99" s="25"/>
      <c r="F99" s="25"/>
      <c r="G99" s="25"/>
      <c r="H99" s="25"/>
      <c r="I99" s="26"/>
      <c r="J99" s="26"/>
      <c r="K99" s="26"/>
      <c r="L99" s="30" t="str">
        <f aca="true">IF(OR($J99="",$H99="Done",$H99="Cancelled"),"",$J99-TODAY())</f>
        <v/>
      </c>
      <c r="M99" s="29" t="str">
        <f aca="true">IF(AND($J99&lt;&gt;"",$H99&lt;&gt;"Done",$H99&lt;&gt;"Cancelled",$J99&lt;TODAY()),"OVERDUE","")</f>
        <v/>
      </c>
      <c r="N99" s="25"/>
      <c r="O99" s="26"/>
      <c r="P99" s="25"/>
    </row>
    <row r="100" customFormat="false" ht="15" hidden="false" customHeight="false" outlineLevel="0" collapsed="false">
      <c r="A100" s="25"/>
      <c r="B100" s="25"/>
      <c r="C100" s="29" t="str">
        <f aca="false">IF($B100="","",IFERROR(INDEX(Projects!$B$5:$B$204,MATCH($B100,Projects!$A$5:$A$204,0)),"Unknown project ID"))</f>
        <v/>
      </c>
      <c r="D100" s="25"/>
      <c r="E100" s="25"/>
      <c r="F100" s="25"/>
      <c r="G100" s="25"/>
      <c r="H100" s="25"/>
      <c r="I100" s="26"/>
      <c r="J100" s="26"/>
      <c r="K100" s="26"/>
      <c r="L100" s="30" t="str">
        <f aca="true">IF(OR($J100="",$H100="Done",$H100="Cancelled"),"",$J100-TODAY())</f>
        <v/>
      </c>
      <c r="M100" s="29" t="str">
        <f aca="true">IF(AND($J100&lt;&gt;"",$H100&lt;&gt;"Done",$H100&lt;&gt;"Cancelled",$J100&lt;TODAY()),"OVERDUE","")</f>
        <v/>
      </c>
      <c r="N100" s="25"/>
      <c r="O100" s="26"/>
      <c r="P100" s="25"/>
    </row>
    <row r="101" customFormat="false" ht="15" hidden="false" customHeight="false" outlineLevel="0" collapsed="false">
      <c r="A101" s="25"/>
      <c r="B101" s="25"/>
      <c r="C101" s="29" t="str">
        <f aca="false">IF($B101="","",IFERROR(INDEX(Projects!$B$5:$B$204,MATCH($B101,Projects!$A$5:$A$204,0)),"Unknown project ID"))</f>
        <v/>
      </c>
      <c r="D101" s="25"/>
      <c r="E101" s="25"/>
      <c r="F101" s="25"/>
      <c r="G101" s="25"/>
      <c r="H101" s="25"/>
      <c r="I101" s="26"/>
      <c r="J101" s="26"/>
      <c r="K101" s="26"/>
      <c r="L101" s="30" t="str">
        <f aca="true">IF(OR($J101="",$H101="Done",$H101="Cancelled"),"",$J101-TODAY())</f>
        <v/>
      </c>
      <c r="M101" s="29" t="str">
        <f aca="true">IF(AND($J101&lt;&gt;"",$H101&lt;&gt;"Done",$H101&lt;&gt;"Cancelled",$J101&lt;TODAY()),"OVERDUE","")</f>
        <v/>
      </c>
      <c r="N101" s="25"/>
      <c r="O101" s="26"/>
      <c r="P101" s="25"/>
    </row>
    <row r="102" customFormat="false" ht="15" hidden="false" customHeight="false" outlineLevel="0" collapsed="false">
      <c r="A102" s="25"/>
      <c r="B102" s="25"/>
      <c r="C102" s="29" t="str">
        <f aca="false">IF($B102="","",IFERROR(INDEX(Projects!$B$5:$B$204,MATCH($B102,Projects!$A$5:$A$204,0)),"Unknown project ID"))</f>
        <v/>
      </c>
      <c r="D102" s="25"/>
      <c r="E102" s="25"/>
      <c r="F102" s="25"/>
      <c r="G102" s="25"/>
      <c r="H102" s="25"/>
      <c r="I102" s="26"/>
      <c r="J102" s="26"/>
      <c r="K102" s="26"/>
      <c r="L102" s="30" t="str">
        <f aca="true">IF(OR($J102="",$H102="Done",$H102="Cancelled"),"",$J102-TODAY())</f>
        <v/>
      </c>
      <c r="M102" s="29" t="str">
        <f aca="true">IF(AND($J102&lt;&gt;"",$H102&lt;&gt;"Done",$H102&lt;&gt;"Cancelled",$J102&lt;TODAY()),"OVERDUE","")</f>
        <v/>
      </c>
      <c r="N102" s="25"/>
      <c r="O102" s="26"/>
      <c r="P102" s="25"/>
    </row>
    <row r="103" customFormat="false" ht="15" hidden="false" customHeight="false" outlineLevel="0" collapsed="false">
      <c r="A103" s="25"/>
      <c r="B103" s="25"/>
      <c r="C103" s="29" t="str">
        <f aca="false">IF($B103="","",IFERROR(INDEX(Projects!$B$5:$B$204,MATCH($B103,Projects!$A$5:$A$204,0)),"Unknown project ID"))</f>
        <v/>
      </c>
      <c r="D103" s="25"/>
      <c r="E103" s="25"/>
      <c r="F103" s="25"/>
      <c r="G103" s="25"/>
      <c r="H103" s="25"/>
      <c r="I103" s="26"/>
      <c r="J103" s="26"/>
      <c r="K103" s="26"/>
      <c r="L103" s="30" t="str">
        <f aca="true">IF(OR($J103="",$H103="Done",$H103="Cancelled"),"",$J103-TODAY())</f>
        <v/>
      </c>
      <c r="M103" s="29" t="str">
        <f aca="true">IF(AND($J103&lt;&gt;"",$H103&lt;&gt;"Done",$H103&lt;&gt;"Cancelled",$J103&lt;TODAY()),"OVERDUE","")</f>
        <v/>
      </c>
      <c r="N103" s="25"/>
      <c r="O103" s="26"/>
      <c r="P103" s="25"/>
    </row>
    <row r="104" customFormat="false" ht="15" hidden="false" customHeight="false" outlineLevel="0" collapsed="false">
      <c r="A104" s="25"/>
      <c r="B104" s="25"/>
      <c r="C104" s="29" t="str">
        <f aca="false">IF($B104="","",IFERROR(INDEX(Projects!$B$5:$B$204,MATCH($B104,Projects!$A$5:$A$204,0)),"Unknown project ID"))</f>
        <v/>
      </c>
      <c r="D104" s="25"/>
      <c r="E104" s="25"/>
      <c r="F104" s="25"/>
      <c r="G104" s="25"/>
      <c r="H104" s="25"/>
      <c r="I104" s="26"/>
      <c r="J104" s="26"/>
      <c r="K104" s="26"/>
      <c r="L104" s="30" t="str">
        <f aca="true">IF(OR($J104="",$H104="Done",$H104="Cancelled"),"",$J104-TODAY())</f>
        <v/>
      </c>
      <c r="M104" s="29" t="str">
        <f aca="true">IF(AND($J104&lt;&gt;"",$H104&lt;&gt;"Done",$H104&lt;&gt;"Cancelled",$J104&lt;TODAY()),"OVERDUE","")</f>
        <v/>
      </c>
      <c r="N104" s="25"/>
      <c r="O104" s="26"/>
      <c r="P104" s="25"/>
    </row>
    <row r="105" customFormat="false" ht="15" hidden="false" customHeight="false" outlineLevel="0" collapsed="false">
      <c r="A105" s="25"/>
      <c r="B105" s="25"/>
      <c r="C105" s="29" t="str">
        <f aca="false">IF($B105="","",IFERROR(INDEX(Projects!$B$5:$B$204,MATCH($B105,Projects!$A$5:$A$204,0)),"Unknown project ID"))</f>
        <v/>
      </c>
      <c r="D105" s="25"/>
      <c r="E105" s="25"/>
      <c r="F105" s="25"/>
      <c r="G105" s="25"/>
      <c r="H105" s="25"/>
      <c r="I105" s="26"/>
      <c r="J105" s="26"/>
      <c r="K105" s="26"/>
      <c r="L105" s="30" t="str">
        <f aca="true">IF(OR($J105="",$H105="Done",$H105="Cancelled"),"",$J105-TODAY())</f>
        <v/>
      </c>
      <c r="M105" s="29" t="str">
        <f aca="true">IF(AND($J105&lt;&gt;"",$H105&lt;&gt;"Done",$H105&lt;&gt;"Cancelled",$J105&lt;TODAY()),"OVERDUE","")</f>
        <v/>
      </c>
      <c r="N105" s="25"/>
      <c r="O105" s="26"/>
      <c r="P105" s="25"/>
    </row>
    <row r="106" customFormat="false" ht="15" hidden="false" customHeight="false" outlineLevel="0" collapsed="false">
      <c r="A106" s="25"/>
      <c r="B106" s="25"/>
      <c r="C106" s="29" t="str">
        <f aca="false">IF($B106="","",IFERROR(INDEX(Projects!$B$5:$B$204,MATCH($B106,Projects!$A$5:$A$204,0)),"Unknown project ID"))</f>
        <v/>
      </c>
      <c r="D106" s="25"/>
      <c r="E106" s="25"/>
      <c r="F106" s="25"/>
      <c r="G106" s="25"/>
      <c r="H106" s="25"/>
      <c r="I106" s="26"/>
      <c r="J106" s="26"/>
      <c r="K106" s="26"/>
      <c r="L106" s="30" t="str">
        <f aca="true">IF(OR($J106="",$H106="Done",$H106="Cancelled"),"",$J106-TODAY())</f>
        <v/>
      </c>
      <c r="M106" s="29" t="str">
        <f aca="true">IF(AND($J106&lt;&gt;"",$H106&lt;&gt;"Done",$H106&lt;&gt;"Cancelled",$J106&lt;TODAY()),"OVERDUE","")</f>
        <v/>
      </c>
      <c r="N106" s="25"/>
      <c r="O106" s="26"/>
      <c r="P106" s="25"/>
    </row>
    <row r="107" customFormat="false" ht="15" hidden="false" customHeight="false" outlineLevel="0" collapsed="false">
      <c r="A107" s="25"/>
      <c r="B107" s="25"/>
      <c r="C107" s="29" t="str">
        <f aca="false">IF($B107="","",IFERROR(INDEX(Projects!$B$5:$B$204,MATCH($B107,Projects!$A$5:$A$204,0)),"Unknown project ID"))</f>
        <v/>
      </c>
      <c r="D107" s="25"/>
      <c r="E107" s="25"/>
      <c r="F107" s="25"/>
      <c r="G107" s="25"/>
      <c r="H107" s="25"/>
      <c r="I107" s="26"/>
      <c r="J107" s="26"/>
      <c r="K107" s="26"/>
      <c r="L107" s="30" t="str">
        <f aca="true">IF(OR($J107="",$H107="Done",$H107="Cancelled"),"",$J107-TODAY())</f>
        <v/>
      </c>
      <c r="M107" s="29" t="str">
        <f aca="true">IF(AND($J107&lt;&gt;"",$H107&lt;&gt;"Done",$H107&lt;&gt;"Cancelled",$J107&lt;TODAY()),"OVERDUE","")</f>
        <v/>
      </c>
      <c r="N107" s="25"/>
      <c r="O107" s="26"/>
      <c r="P107" s="25"/>
    </row>
    <row r="108" customFormat="false" ht="15" hidden="false" customHeight="false" outlineLevel="0" collapsed="false">
      <c r="A108" s="25"/>
      <c r="B108" s="25"/>
      <c r="C108" s="29" t="str">
        <f aca="false">IF($B108="","",IFERROR(INDEX(Projects!$B$5:$B$204,MATCH($B108,Projects!$A$5:$A$204,0)),"Unknown project ID"))</f>
        <v/>
      </c>
      <c r="D108" s="25"/>
      <c r="E108" s="25"/>
      <c r="F108" s="25"/>
      <c r="G108" s="25"/>
      <c r="H108" s="25"/>
      <c r="I108" s="26"/>
      <c r="J108" s="26"/>
      <c r="K108" s="26"/>
      <c r="L108" s="30" t="str">
        <f aca="true">IF(OR($J108="",$H108="Done",$H108="Cancelled"),"",$J108-TODAY())</f>
        <v/>
      </c>
      <c r="M108" s="29" t="str">
        <f aca="true">IF(AND($J108&lt;&gt;"",$H108&lt;&gt;"Done",$H108&lt;&gt;"Cancelled",$J108&lt;TODAY()),"OVERDUE","")</f>
        <v/>
      </c>
      <c r="N108" s="25"/>
      <c r="O108" s="26"/>
      <c r="P108" s="25"/>
    </row>
    <row r="109" customFormat="false" ht="15" hidden="false" customHeight="false" outlineLevel="0" collapsed="false">
      <c r="A109" s="25"/>
      <c r="B109" s="25"/>
      <c r="C109" s="29" t="str">
        <f aca="false">IF($B109="","",IFERROR(INDEX(Projects!$B$5:$B$204,MATCH($B109,Projects!$A$5:$A$204,0)),"Unknown project ID"))</f>
        <v/>
      </c>
      <c r="D109" s="25"/>
      <c r="E109" s="25"/>
      <c r="F109" s="25"/>
      <c r="G109" s="25"/>
      <c r="H109" s="25"/>
      <c r="I109" s="26"/>
      <c r="J109" s="26"/>
      <c r="K109" s="26"/>
      <c r="L109" s="30" t="str">
        <f aca="true">IF(OR($J109="",$H109="Done",$H109="Cancelled"),"",$J109-TODAY())</f>
        <v/>
      </c>
      <c r="M109" s="29" t="str">
        <f aca="true">IF(AND($J109&lt;&gt;"",$H109&lt;&gt;"Done",$H109&lt;&gt;"Cancelled",$J109&lt;TODAY()),"OVERDUE","")</f>
        <v/>
      </c>
      <c r="N109" s="25"/>
      <c r="O109" s="26"/>
      <c r="P109" s="25"/>
    </row>
    <row r="110" customFormat="false" ht="15" hidden="false" customHeight="false" outlineLevel="0" collapsed="false">
      <c r="A110" s="25"/>
      <c r="B110" s="25"/>
      <c r="C110" s="29" t="str">
        <f aca="false">IF($B110="","",IFERROR(INDEX(Projects!$B$5:$B$204,MATCH($B110,Projects!$A$5:$A$204,0)),"Unknown project ID"))</f>
        <v/>
      </c>
      <c r="D110" s="25"/>
      <c r="E110" s="25"/>
      <c r="F110" s="25"/>
      <c r="G110" s="25"/>
      <c r="H110" s="25"/>
      <c r="I110" s="26"/>
      <c r="J110" s="26"/>
      <c r="K110" s="26"/>
      <c r="L110" s="30" t="str">
        <f aca="true">IF(OR($J110="",$H110="Done",$H110="Cancelled"),"",$J110-TODAY())</f>
        <v/>
      </c>
      <c r="M110" s="29" t="str">
        <f aca="true">IF(AND($J110&lt;&gt;"",$H110&lt;&gt;"Done",$H110&lt;&gt;"Cancelled",$J110&lt;TODAY()),"OVERDUE","")</f>
        <v/>
      </c>
      <c r="N110" s="25"/>
      <c r="O110" s="26"/>
      <c r="P110" s="25"/>
    </row>
    <row r="111" customFormat="false" ht="15" hidden="false" customHeight="false" outlineLevel="0" collapsed="false">
      <c r="A111" s="25"/>
      <c r="B111" s="25"/>
      <c r="C111" s="29" t="str">
        <f aca="false">IF($B111="","",IFERROR(INDEX(Projects!$B$5:$B$204,MATCH($B111,Projects!$A$5:$A$204,0)),"Unknown project ID"))</f>
        <v/>
      </c>
      <c r="D111" s="25"/>
      <c r="E111" s="25"/>
      <c r="F111" s="25"/>
      <c r="G111" s="25"/>
      <c r="H111" s="25"/>
      <c r="I111" s="26"/>
      <c r="J111" s="26"/>
      <c r="K111" s="26"/>
      <c r="L111" s="30" t="str">
        <f aca="true">IF(OR($J111="",$H111="Done",$H111="Cancelled"),"",$J111-TODAY())</f>
        <v/>
      </c>
      <c r="M111" s="29" t="str">
        <f aca="true">IF(AND($J111&lt;&gt;"",$H111&lt;&gt;"Done",$H111&lt;&gt;"Cancelled",$J111&lt;TODAY()),"OVERDUE","")</f>
        <v/>
      </c>
      <c r="N111" s="25"/>
      <c r="O111" s="26"/>
      <c r="P111" s="25"/>
    </row>
    <row r="112" customFormat="false" ht="15" hidden="false" customHeight="false" outlineLevel="0" collapsed="false">
      <c r="A112" s="25"/>
      <c r="B112" s="25"/>
      <c r="C112" s="29" t="str">
        <f aca="false">IF($B112="","",IFERROR(INDEX(Projects!$B$5:$B$204,MATCH($B112,Projects!$A$5:$A$204,0)),"Unknown project ID"))</f>
        <v/>
      </c>
      <c r="D112" s="25"/>
      <c r="E112" s="25"/>
      <c r="F112" s="25"/>
      <c r="G112" s="25"/>
      <c r="H112" s="25"/>
      <c r="I112" s="26"/>
      <c r="J112" s="26"/>
      <c r="K112" s="26"/>
      <c r="L112" s="30" t="str">
        <f aca="true">IF(OR($J112="",$H112="Done",$H112="Cancelled"),"",$J112-TODAY())</f>
        <v/>
      </c>
      <c r="M112" s="29" t="str">
        <f aca="true">IF(AND($J112&lt;&gt;"",$H112&lt;&gt;"Done",$H112&lt;&gt;"Cancelled",$J112&lt;TODAY()),"OVERDUE","")</f>
        <v/>
      </c>
      <c r="N112" s="25"/>
      <c r="O112" s="26"/>
      <c r="P112" s="25"/>
    </row>
    <row r="113" customFormat="false" ht="15" hidden="false" customHeight="false" outlineLevel="0" collapsed="false">
      <c r="A113" s="25"/>
      <c r="B113" s="25"/>
      <c r="C113" s="29" t="str">
        <f aca="false">IF($B113="","",IFERROR(INDEX(Projects!$B$5:$B$204,MATCH($B113,Projects!$A$5:$A$204,0)),"Unknown project ID"))</f>
        <v/>
      </c>
      <c r="D113" s="25"/>
      <c r="E113" s="25"/>
      <c r="F113" s="25"/>
      <c r="G113" s="25"/>
      <c r="H113" s="25"/>
      <c r="I113" s="26"/>
      <c r="J113" s="26"/>
      <c r="K113" s="26"/>
      <c r="L113" s="30" t="str">
        <f aca="true">IF(OR($J113="",$H113="Done",$H113="Cancelled"),"",$J113-TODAY())</f>
        <v/>
      </c>
      <c r="M113" s="29" t="str">
        <f aca="true">IF(AND($J113&lt;&gt;"",$H113&lt;&gt;"Done",$H113&lt;&gt;"Cancelled",$J113&lt;TODAY()),"OVERDUE","")</f>
        <v/>
      </c>
      <c r="N113" s="25"/>
      <c r="O113" s="26"/>
      <c r="P113" s="25"/>
    </row>
    <row r="114" customFormat="false" ht="15" hidden="false" customHeight="false" outlineLevel="0" collapsed="false">
      <c r="A114" s="25"/>
      <c r="B114" s="25"/>
      <c r="C114" s="29" t="str">
        <f aca="false">IF($B114="","",IFERROR(INDEX(Projects!$B$5:$B$204,MATCH($B114,Projects!$A$5:$A$204,0)),"Unknown project ID"))</f>
        <v/>
      </c>
      <c r="D114" s="25"/>
      <c r="E114" s="25"/>
      <c r="F114" s="25"/>
      <c r="G114" s="25"/>
      <c r="H114" s="25"/>
      <c r="I114" s="26"/>
      <c r="J114" s="26"/>
      <c r="K114" s="26"/>
      <c r="L114" s="30" t="str">
        <f aca="true">IF(OR($J114="",$H114="Done",$H114="Cancelled"),"",$J114-TODAY())</f>
        <v/>
      </c>
      <c r="M114" s="29" t="str">
        <f aca="true">IF(AND($J114&lt;&gt;"",$H114&lt;&gt;"Done",$H114&lt;&gt;"Cancelled",$J114&lt;TODAY()),"OVERDUE","")</f>
        <v/>
      </c>
      <c r="N114" s="25"/>
      <c r="O114" s="26"/>
      <c r="P114" s="25"/>
    </row>
    <row r="115" customFormat="false" ht="15" hidden="false" customHeight="false" outlineLevel="0" collapsed="false">
      <c r="A115" s="25"/>
      <c r="B115" s="25"/>
      <c r="C115" s="29" t="str">
        <f aca="false">IF($B115="","",IFERROR(INDEX(Projects!$B$5:$B$204,MATCH($B115,Projects!$A$5:$A$204,0)),"Unknown project ID"))</f>
        <v/>
      </c>
      <c r="D115" s="25"/>
      <c r="E115" s="25"/>
      <c r="F115" s="25"/>
      <c r="G115" s="25"/>
      <c r="H115" s="25"/>
      <c r="I115" s="26"/>
      <c r="J115" s="26"/>
      <c r="K115" s="26"/>
      <c r="L115" s="30" t="str">
        <f aca="true">IF(OR($J115="",$H115="Done",$H115="Cancelled"),"",$J115-TODAY())</f>
        <v/>
      </c>
      <c r="M115" s="29" t="str">
        <f aca="true">IF(AND($J115&lt;&gt;"",$H115&lt;&gt;"Done",$H115&lt;&gt;"Cancelled",$J115&lt;TODAY()),"OVERDUE","")</f>
        <v/>
      </c>
      <c r="N115" s="25"/>
      <c r="O115" s="26"/>
      <c r="P115" s="25"/>
    </row>
    <row r="116" customFormat="false" ht="15" hidden="false" customHeight="false" outlineLevel="0" collapsed="false">
      <c r="A116" s="25"/>
      <c r="B116" s="25"/>
      <c r="C116" s="29" t="str">
        <f aca="false">IF($B116="","",IFERROR(INDEX(Projects!$B$5:$B$204,MATCH($B116,Projects!$A$5:$A$204,0)),"Unknown project ID"))</f>
        <v/>
      </c>
      <c r="D116" s="25"/>
      <c r="E116" s="25"/>
      <c r="F116" s="25"/>
      <c r="G116" s="25"/>
      <c r="H116" s="25"/>
      <c r="I116" s="26"/>
      <c r="J116" s="26"/>
      <c r="K116" s="26"/>
      <c r="L116" s="30" t="str">
        <f aca="true">IF(OR($J116="",$H116="Done",$H116="Cancelled"),"",$J116-TODAY())</f>
        <v/>
      </c>
      <c r="M116" s="29" t="str">
        <f aca="true">IF(AND($J116&lt;&gt;"",$H116&lt;&gt;"Done",$H116&lt;&gt;"Cancelled",$J116&lt;TODAY()),"OVERDUE","")</f>
        <v/>
      </c>
      <c r="N116" s="25"/>
      <c r="O116" s="26"/>
      <c r="P116" s="25"/>
    </row>
    <row r="117" customFormat="false" ht="15" hidden="false" customHeight="false" outlineLevel="0" collapsed="false">
      <c r="A117" s="25"/>
      <c r="B117" s="25"/>
      <c r="C117" s="29" t="str">
        <f aca="false">IF($B117="","",IFERROR(INDEX(Projects!$B$5:$B$204,MATCH($B117,Projects!$A$5:$A$204,0)),"Unknown project ID"))</f>
        <v/>
      </c>
      <c r="D117" s="25"/>
      <c r="E117" s="25"/>
      <c r="F117" s="25"/>
      <c r="G117" s="25"/>
      <c r="H117" s="25"/>
      <c r="I117" s="26"/>
      <c r="J117" s="26"/>
      <c r="K117" s="26"/>
      <c r="L117" s="30" t="str">
        <f aca="true">IF(OR($J117="",$H117="Done",$H117="Cancelled"),"",$J117-TODAY())</f>
        <v/>
      </c>
      <c r="M117" s="29" t="str">
        <f aca="true">IF(AND($J117&lt;&gt;"",$H117&lt;&gt;"Done",$H117&lt;&gt;"Cancelled",$J117&lt;TODAY()),"OVERDUE","")</f>
        <v/>
      </c>
      <c r="N117" s="25"/>
      <c r="O117" s="26"/>
      <c r="P117" s="25"/>
    </row>
    <row r="118" customFormat="false" ht="15" hidden="false" customHeight="false" outlineLevel="0" collapsed="false">
      <c r="A118" s="25"/>
      <c r="B118" s="25"/>
      <c r="C118" s="29" t="str">
        <f aca="false">IF($B118="","",IFERROR(INDEX(Projects!$B$5:$B$204,MATCH($B118,Projects!$A$5:$A$204,0)),"Unknown project ID"))</f>
        <v/>
      </c>
      <c r="D118" s="25"/>
      <c r="E118" s="25"/>
      <c r="F118" s="25"/>
      <c r="G118" s="25"/>
      <c r="H118" s="25"/>
      <c r="I118" s="26"/>
      <c r="J118" s="26"/>
      <c r="K118" s="26"/>
      <c r="L118" s="30" t="str">
        <f aca="true">IF(OR($J118="",$H118="Done",$H118="Cancelled"),"",$J118-TODAY())</f>
        <v/>
      </c>
      <c r="M118" s="29" t="str">
        <f aca="true">IF(AND($J118&lt;&gt;"",$H118&lt;&gt;"Done",$H118&lt;&gt;"Cancelled",$J118&lt;TODAY()),"OVERDUE","")</f>
        <v/>
      </c>
      <c r="N118" s="25"/>
      <c r="O118" s="26"/>
      <c r="P118" s="25"/>
    </row>
    <row r="119" customFormat="false" ht="15" hidden="false" customHeight="false" outlineLevel="0" collapsed="false">
      <c r="A119" s="25"/>
      <c r="B119" s="25"/>
      <c r="C119" s="29" t="str">
        <f aca="false">IF($B119="","",IFERROR(INDEX(Projects!$B$5:$B$204,MATCH($B119,Projects!$A$5:$A$204,0)),"Unknown project ID"))</f>
        <v/>
      </c>
      <c r="D119" s="25"/>
      <c r="E119" s="25"/>
      <c r="F119" s="25"/>
      <c r="G119" s="25"/>
      <c r="H119" s="25"/>
      <c r="I119" s="26"/>
      <c r="J119" s="26"/>
      <c r="K119" s="26"/>
      <c r="L119" s="30" t="str">
        <f aca="true">IF(OR($J119="",$H119="Done",$H119="Cancelled"),"",$J119-TODAY())</f>
        <v/>
      </c>
      <c r="M119" s="29" t="str">
        <f aca="true">IF(AND($J119&lt;&gt;"",$H119&lt;&gt;"Done",$H119&lt;&gt;"Cancelled",$J119&lt;TODAY()),"OVERDUE","")</f>
        <v/>
      </c>
      <c r="N119" s="25"/>
      <c r="O119" s="26"/>
      <c r="P119" s="25"/>
    </row>
    <row r="120" customFormat="false" ht="15" hidden="false" customHeight="false" outlineLevel="0" collapsed="false">
      <c r="A120" s="25"/>
      <c r="B120" s="25"/>
      <c r="C120" s="29" t="str">
        <f aca="false">IF($B120="","",IFERROR(INDEX(Projects!$B$5:$B$204,MATCH($B120,Projects!$A$5:$A$204,0)),"Unknown project ID"))</f>
        <v/>
      </c>
      <c r="D120" s="25"/>
      <c r="E120" s="25"/>
      <c r="F120" s="25"/>
      <c r="G120" s="25"/>
      <c r="H120" s="25"/>
      <c r="I120" s="26"/>
      <c r="J120" s="26"/>
      <c r="K120" s="26"/>
      <c r="L120" s="30" t="str">
        <f aca="true">IF(OR($J120="",$H120="Done",$H120="Cancelled"),"",$J120-TODAY())</f>
        <v/>
      </c>
      <c r="M120" s="29" t="str">
        <f aca="true">IF(AND($J120&lt;&gt;"",$H120&lt;&gt;"Done",$H120&lt;&gt;"Cancelled",$J120&lt;TODAY()),"OVERDUE","")</f>
        <v/>
      </c>
      <c r="N120" s="25"/>
      <c r="O120" s="26"/>
      <c r="P120" s="25"/>
    </row>
    <row r="121" customFormat="false" ht="15" hidden="false" customHeight="false" outlineLevel="0" collapsed="false">
      <c r="A121" s="25"/>
      <c r="B121" s="25"/>
      <c r="C121" s="29" t="str">
        <f aca="false">IF($B121="","",IFERROR(INDEX(Projects!$B$5:$B$204,MATCH($B121,Projects!$A$5:$A$204,0)),"Unknown project ID"))</f>
        <v/>
      </c>
      <c r="D121" s="25"/>
      <c r="E121" s="25"/>
      <c r="F121" s="25"/>
      <c r="G121" s="25"/>
      <c r="H121" s="25"/>
      <c r="I121" s="26"/>
      <c r="J121" s="26"/>
      <c r="K121" s="26"/>
      <c r="L121" s="30" t="str">
        <f aca="true">IF(OR($J121="",$H121="Done",$H121="Cancelled"),"",$J121-TODAY())</f>
        <v/>
      </c>
      <c r="M121" s="29" t="str">
        <f aca="true">IF(AND($J121&lt;&gt;"",$H121&lt;&gt;"Done",$H121&lt;&gt;"Cancelled",$J121&lt;TODAY()),"OVERDUE","")</f>
        <v/>
      </c>
      <c r="N121" s="25"/>
      <c r="O121" s="26"/>
      <c r="P121" s="25"/>
    </row>
    <row r="122" customFormat="false" ht="15" hidden="false" customHeight="false" outlineLevel="0" collapsed="false">
      <c r="A122" s="25"/>
      <c r="B122" s="25"/>
      <c r="C122" s="29" t="str">
        <f aca="false">IF($B122="","",IFERROR(INDEX(Projects!$B$5:$B$204,MATCH($B122,Projects!$A$5:$A$204,0)),"Unknown project ID"))</f>
        <v/>
      </c>
      <c r="D122" s="25"/>
      <c r="E122" s="25"/>
      <c r="F122" s="25"/>
      <c r="G122" s="25"/>
      <c r="H122" s="25"/>
      <c r="I122" s="26"/>
      <c r="J122" s="26"/>
      <c r="K122" s="26"/>
      <c r="L122" s="30" t="str">
        <f aca="true">IF(OR($J122="",$H122="Done",$H122="Cancelled"),"",$J122-TODAY())</f>
        <v/>
      </c>
      <c r="M122" s="29" t="str">
        <f aca="true">IF(AND($J122&lt;&gt;"",$H122&lt;&gt;"Done",$H122&lt;&gt;"Cancelled",$J122&lt;TODAY()),"OVERDUE","")</f>
        <v/>
      </c>
      <c r="N122" s="25"/>
      <c r="O122" s="26"/>
      <c r="P122" s="25"/>
    </row>
    <row r="123" customFormat="false" ht="15" hidden="false" customHeight="false" outlineLevel="0" collapsed="false">
      <c r="A123" s="25"/>
      <c r="B123" s="25"/>
      <c r="C123" s="29" t="str">
        <f aca="false">IF($B123="","",IFERROR(INDEX(Projects!$B$5:$B$204,MATCH($B123,Projects!$A$5:$A$204,0)),"Unknown project ID"))</f>
        <v/>
      </c>
      <c r="D123" s="25"/>
      <c r="E123" s="25"/>
      <c r="F123" s="25"/>
      <c r="G123" s="25"/>
      <c r="H123" s="25"/>
      <c r="I123" s="26"/>
      <c r="J123" s="26"/>
      <c r="K123" s="26"/>
      <c r="L123" s="30" t="str">
        <f aca="true">IF(OR($J123="",$H123="Done",$H123="Cancelled"),"",$J123-TODAY())</f>
        <v/>
      </c>
      <c r="M123" s="29" t="str">
        <f aca="true">IF(AND($J123&lt;&gt;"",$H123&lt;&gt;"Done",$H123&lt;&gt;"Cancelled",$J123&lt;TODAY()),"OVERDUE","")</f>
        <v/>
      </c>
      <c r="N123" s="25"/>
      <c r="O123" s="26"/>
      <c r="P123" s="25"/>
    </row>
    <row r="124" customFormat="false" ht="15" hidden="false" customHeight="false" outlineLevel="0" collapsed="false">
      <c r="A124" s="25"/>
      <c r="B124" s="25"/>
      <c r="C124" s="29" t="str">
        <f aca="false">IF($B124="","",IFERROR(INDEX(Projects!$B$5:$B$204,MATCH($B124,Projects!$A$5:$A$204,0)),"Unknown project ID"))</f>
        <v/>
      </c>
      <c r="D124" s="25"/>
      <c r="E124" s="25"/>
      <c r="F124" s="25"/>
      <c r="G124" s="25"/>
      <c r="H124" s="25"/>
      <c r="I124" s="26"/>
      <c r="J124" s="26"/>
      <c r="K124" s="26"/>
      <c r="L124" s="30" t="str">
        <f aca="true">IF(OR($J124="",$H124="Done",$H124="Cancelled"),"",$J124-TODAY())</f>
        <v/>
      </c>
      <c r="M124" s="29" t="str">
        <f aca="true">IF(AND($J124&lt;&gt;"",$H124&lt;&gt;"Done",$H124&lt;&gt;"Cancelled",$J124&lt;TODAY()),"OVERDUE","")</f>
        <v/>
      </c>
      <c r="N124" s="25"/>
      <c r="O124" s="26"/>
      <c r="P124" s="25"/>
    </row>
    <row r="125" customFormat="false" ht="15" hidden="false" customHeight="false" outlineLevel="0" collapsed="false">
      <c r="A125" s="25"/>
      <c r="B125" s="25"/>
      <c r="C125" s="29" t="str">
        <f aca="false">IF($B125="","",IFERROR(INDEX(Projects!$B$5:$B$204,MATCH($B125,Projects!$A$5:$A$204,0)),"Unknown project ID"))</f>
        <v/>
      </c>
      <c r="D125" s="25"/>
      <c r="E125" s="25"/>
      <c r="F125" s="25"/>
      <c r="G125" s="25"/>
      <c r="H125" s="25"/>
      <c r="I125" s="26"/>
      <c r="J125" s="26"/>
      <c r="K125" s="26"/>
      <c r="L125" s="30" t="str">
        <f aca="true">IF(OR($J125="",$H125="Done",$H125="Cancelled"),"",$J125-TODAY())</f>
        <v/>
      </c>
      <c r="M125" s="29" t="str">
        <f aca="true">IF(AND($J125&lt;&gt;"",$H125&lt;&gt;"Done",$H125&lt;&gt;"Cancelled",$J125&lt;TODAY()),"OVERDUE","")</f>
        <v/>
      </c>
      <c r="N125" s="25"/>
      <c r="O125" s="26"/>
      <c r="P125" s="25"/>
    </row>
    <row r="126" customFormat="false" ht="15" hidden="false" customHeight="false" outlineLevel="0" collapsed="false">
      <c r="A126" s="25"/>
      <c r="B126" s="25"/>
      <c r="C126" s="29" t="str">
        <f aca="false">IF($B126="","",IFERROR(INDEX(Projects!$B$5:$B$204,MATCH($B126,Projects!$A$5:$A$204,0)),"Unknown project ID"))</f>
        <v/>
      </c>
      <c r="D126" s="25"/>
      <c r="E126" s="25"/>
      <c r="F126" s="25"/>
      <c r="G126" s="25"/>
      <c r="H126" s="25"/>
      <c r="I126" s="26"/>
      <c r="J126" s="26"/>
      <c r="K126" s="26"/>
      <c r="L126" s="30" t="str">
        <f aca="true">IF(OR($J126="",$H126="Done",$H126="Cancelled"),"",$J126-TODAY())</f>
        <v/>
      </c>
      <c r="M126" s="29" t="str">
        <f aca="true">IF(AND($J126&lt;&gt;"",$H126&lt;&gt;"Done",$H126&lt;&gt;"Cancelled",$J126&lt;TODAY()),"OVERDUE","")</f>
        <v/>
      </c>
      <c r="N126" s="25"/>
      <c r="O126" s="26"/>
      <c r="P126" s="25"/>
    </row>
    <row r="127" customFormat="false" ht="15" hidden="false" customHeight="false" outlineLevel="0" collapsed="false">
      <c r="A127" s="25"/>
      <c r="B127" s="25"/>
      <c r="C127" s="29" t="str">
        <f aca="false">IF($B127="","",IFERROR(INDEX(Projects!$B$5:$B$204,MATCH($B127,Projects!$A$5:$A$204,0)),"Unknown project ID"))</f>
        <v/>
      </c>
      <c r="D127" s="25"/>
      <c r="E127" s="25"/>
      <c r="F127" s="25"/>
      <c r="G127" s="25"/>
      <c r="H127" s="25"/>
      <c r="I127" s="26"/>
      <c r="J127" s="26"/>
      <c r="K127" s="26"/>
      <c r="L127" s="30" t="str">
        <f aca="true">IF(OR($J127="",$H127="Done",$H127="Cancelled"),"",$J127-TODAY())</f>
        <v/>
      </c>
      <c r="M127" s="29" t="str">
        <f aca="true">IF(AND($J127&lt;&gt;"",$H127&lt;&gt;"Done",$H127&lt;&gt;"Cancelled",$J127&lt;TODAY()),"OVERDUE","")</f>
        <v/>
      </c>
      <c r="N127" s="25"/>
      <c r="O127" s="26"/>
      <c r="P127" s="25"/>
    </row>
    <row r="128" customFormat="false" ht="15" hidden="false" customHeight="false" outlineLevel="0" collapsed="false">
      <c r="A128" s="25"/>
      <c r="B128" s="25"/>
      <c r="C128" s="29" t="str">
        <f aca="false">IF($B128="","",IFERROR(INDEX(Projects!$B$5:$B$204,MATCH($B128,Projects!$A$5:$A$204,0)),"Unknown project ID"))</f>
        <v/>
      </c>
      <c r="D128" s="25"/>
      <c r="E128" s="25"/>
      <c r="F128" s="25"/>
      <c r="G128" s="25"/>
      <c r="H128" s="25"/>
      <c r="I128" s="26"/>
      <c r="J128" s="26"/>
      <c r="K128" s="26"/>
      <c r="L128" s="30" t="str">
        <f aca="true">IF(OR($J128="",$H128="Done",$H128="Cancelled"),"",$J128-TODAY())</f>
        <v/>
      </c>
      <c r="M128" s="29" t="str">
        <f aca="true">IF(AND($J128&lt;&gt;"",$H128&lt;&gt;"Done",$H128&lt;&gt;"Cancelled",$J128&lt;TODAY()),"OVERDUE","")</f>
        <v/>
      </c>
      <c r="N128" s="25"/>
      <c r="O128" s="26"/>
      <c r="P128" s="25"/>
    </row>
    <row r="129" customFormat="false" ht="15" hidden="false" customHeight="false" outlineLevel="0" collapsed="false">
      <c r="A129" s="25"/>
      <c r="B129" s="25"/>
      <c r="C129" s="29" t="str">
        <f aca="false">IF($B129="","",IFERROR(INDEX(Projects!$B$5:$B$204,MATCH($B129,Projects!$A$5:$A$204,0)),"Unknown project ID"))</f>
        <v/>
      </c>
      <c r="D129" s="25"/>
      <c r="E129" s="25"/>
      <c r="F129" s="25"/>
      <c r="G129" s="25"/>
      <c r="H129" s="25"/>
      <c r="I129" s="26"/>
      <c r="J129" s="26"/>
      <c r="K129" s="26"/>
      <c r="L129" s="30" t="str">
        <f aca="true">IF(OR($J129="",$H129="Done",$H129="Cancelled"),"",$J129-TODAY())</f>
        <v/>
      </c>
      <c r="M129" s="29" t="str">
        <f aca="true">IF(AND($J129&lt;&gt;"",$H129&lt;&gt;"Done",$H129&lt;&gt;"Cancelled",$J129&lt;TODAY()),"OVERDUE","")</f>
        <v/>
      </c>
      <c r="N129" s="25"/>
      <c r="O129" s="26"/>
      <c r="P129" s="25"/>
    </row>
    <row r="130" customFormat="false" ht="15" hidden="false" customHeight="false" outlineLevel="0" collapsed="false">
      <c r="A130" s="25"/>
      <c r="B130" s="25"/>
      <c r="C130" s="29" t="str">
        <f aca="false">IF($B130="","",IFERROR(INDEX(Projects!$B$5:$B$204,MATCH($B130,Projects!$A$5:$A$204,0)),"Unknown project ID"))</f>
        <v/>
      </c>
      <c r="D130" s="25"/>
      <c r="E130" s="25"/>
      <c r="F130" s="25"/>
      <c r="G130" s="25"/>
      <c r="H130" s="25"/>
      <c r="I130" s="26"/>
      <c r="J130" s="26"/>
      <c r="K130" s="26"/>
      <c r="L130" s="30" t="str">
        <f aca="true">IF(OR($J130="",$H130="Done",$H130="Cancelled"),"",$J130-TODAY())</f>
        <v/>
      </c>
      <c r="M130" s="29" t="str">
        <f aca="true">IF(AND($J130&lt;&gt;"",$H130&lt;&gt;"Done",$H130&lt;&gt;"Cancelled",$J130&lt;TODAY()),"OVERDUE","")</f>
        <v/>
      </c>
      <c r="N130" s="25"/>
      <c r="O130" s="26"/>
      <c r="P130" s="25"/>
    </row>
    <row r="131" customFormat="false" ht="15" hidden="false" customHeight="false" outlineLevel="0" collapsed="false">
      <c r="A131" s="25"/>
      <c r="B131" s="25"/>
      <c r="C131" s="29" t="str">
        <f aca="false">IF($B131="","",IFERROR(INDEX(Projects!$B$5:$B$204,MATCH($B131,Projects!$A$5:$A$204,0)),"Unknown project ID"))</f>
        <v/>
      </c>
      <c r="D131" s="25"/>
      <c r="E131" s="25"/>
      <c r="F131" s="25"/>
      <c r="G131" s="25"/>
      <c r="H131" s="25"/>
      <c r="I131" s="26"/>
      <c r="J131" s="26"/>
      <c r="K131" s="26"/>
      <c r="L131" s="30" t="str">
        <f aca="true">IF(OR($J131="",$H131="Done",$H131="Cancelled"),"",$J131-TODAY())</f>
        <v/>
      </c>
      <c r="M131" s="29" t="str">
        <f aca="true">IF(AND($J131&lt;&gt;"",$H131&lt;&gt;"Done",$H131&lt;&gt;"Cancelled",$J131&lt;TODAY()),"OVERDUE","")</f>
        <v/>
      </c>
      <c r="N131" s="25"/>
      <c r="O131" s="26"/>
      <c r="P131" s="25"/>
    </row>
    <row r="132" customFormat="false" ht="15" hidden="false" customHeight="false" outlineLevel="0" collapsed="false">
      <c r="A132" s="25"/>
      <c r="B132" s="25"/>
      <c r="C132" s="29" t="str">
        <f aca="false">IF($B132="","",IFERROR(INDEX(Projects!$B$5:$B$204,MATCH($B132,Projects!$A$5:$A$204,0)),"Unknown project ID"))</f>
        <v/>
      </c>
      <c r="D132" s="25"/>
      <c r="E132" s="25"/>
      <c r="F132" s="25"/>
      <c r="G132" s="25"/>
      <c r="H132" s="25"/>
      <c r="I132" s="26"/>
      <c r="J132" s="26"/>
      <c r="K132" s="26"/>
      <c r="L132" s="30" t="str">
        <f aca="true">IF(OR($J132="",$H132="Done",$H132="Cancelled"),"",$J132-TODAY())</f>
        <v/>
      </c>
      <c r="M132" s="29" t="str">
        <f aca="true">IF(AND($J132&lt;&gt;"",$H132&lt;&gt;"Done",$H132&lt;&gt;"Cancelled",$J132&lt;TODAY()),"OVERDUE","")</f>
        <v/>
      </c>
      <c r="N132" s="25"/>
      <c r="O132" s="26"/>
      <c r="P132" s="25"/>
    </row>
    <row r="133" customFormat="false" ht="15" hidden="false" customHeight="false" outlineLevel="0" collapsed="false">
      <c r="A133" s="25"/>
      <c r="B133" s="25"/>
      <c r="C133" s="29" t="str">
        <f aca="false">IF($B133="","",IFERROR(INDEX(Projects!$B$5:$B$204,MATCH($B133,Projects!$A$5:$A$204,0)),"Unknown project ID"))</f>
        <v/>
      </c>
      <c r="D133" s="25"/>
      <c r="E133" s="25"/>
      <c r="F133" s="25"/>
      <c r="G133" s="25"/>
      <c r="H133" s="25"/>
      <c r="I133" s="26"/>
      <c r="J133" s="26"/>
      <c r="K133" s="26"/>
      <c r="L133" s="30" t="str">
        <f aca="true">IF(OR($J133="",$H133="Done",$H133="Cancelled"),"",$J133-TODAY())</f>
        <v/>
      </c>
      <c r="M133" s="29" t="str">
        <f aca="true">IF(AND($J133&lt;&gt;"",$H133&lt;&gt;"Done",$H133&lt;&gt;"Cancelled",$J133&lt;TODAY()),"OVERDUE","")</f>
        <v/>
      </c>
      <c r="N133" s="25"/>
      <c r="O133" s="26"/>
      <c r="P133" s="25"/>
    </row>
    <row r="134" customFormat="false" ht="15" hidden="false" customHeight="false" outlineLevel="0" collapsed="false">
      <c r="A134" s="25"/>
      <c r="B134" s="25"/>
      <c r="C134" s="29" t="str">
        <f aca="false">IF($B134="","",IFERROR(INDEX(Projects!$B$5:$B$204,MATCH($B134,Projects!$A$5:$A$204,0)),"Unknown project ID"))</f>
        <v/>
      </c>
      <c r="D134" s="25"/>
      <c r="E134" s="25"/>
      <c r="F134" s="25"/>
      <c r="G134" s="25"/>
      <c r="H134" s="25"/>
      <c r="I134" s="26"/>
      <c r="J134" s="26"/>
      <c r="K134" s="26"/>
      <c r="L134" s="30" t="str">
        <f aca="true">IF(OR($J134="",$H134="Done",$H134="Cancelled"),"",$J134-TODAY())</f>
        <v/>
      </c>
      <c r="M134" s="29" t="str">
        <f aca="true">IF(AND($J134&lt;&gt;"",$H134&lt;&gt;"Done",$H134&lt;&gt;"Cancelled",$J134&lt;TODAY()),"OVERDUE","")</f>
        <v/>
      </c>
      <c r="N134" s="25"/>
      <c r="O134" s="26"/>
      <c r="P134" s="25"/>
    </row>
    <row r="135" customFormat="false" ht="15" hidden="false" customHeight="false" outlineLevel="0" collapsed="false">
      <c r="A135" s="25"/>
      <c r="B135" s="25"/>
      <c r="C135" s="29" t="str">
        <f aca="false">IF($B135="","",IFERROR(INDEX(Projects!$B$5:$B$204,MATCH($B135,Projects!$A$5:$A$204,0)),"Unknown project ID"))</f>
        <v/>
      </c>
      <c r="D135" s="25"/>
      <c r="E135" s="25"/>
      <c r="F135" s="25"/>
      <c r="G135" s="25"/>
      <c r="H135" s="25"/>
      <c r="I135" s="26"/>
      <c r="J135" s="26"/>
      <c r="K135" s="26"/>
      <c r="L135" s="30" t="str">
        <f aca="true">IF(OR($J135="",$H135="Done",$H135="Cancelled"),"",$J135-TODAY())</f>
        <v/>
      </c>
      <c r="M135" s="29" t="str">
        <f aca="true">IF(AND($J135&lt;&gt;"",$H135&lt;&gt;"Done",$H135&lt;&gt;"Cancelled",$J135&lt;TODAY()),"OVERDUE","")</f>
        <v/>
      </c>
      <c r="N135" s="25"/>
      <c r="O135" s="26"/>
      <c r="P135" s="25"/>
    </row>
    <row r="136" customFormat="false" ht="15" hidden="false" customHeight="false" outlineLevel="0" collapsed="false">
      <c r="A136" s="25"/>
      <c r="B136" s="25"/>
      <c r="C136" s="29" t="str">
        <f aca="false">IF($B136="","",IFERROR(INDEX(Projects!$B$5:$B$204,MATCH($B136,Projects!$A$5:$A$204,0)),"Unknown project ID"))</f>
        <v/>
      </c>
      <c r="D136" s="25"/>
      <c r="E136" s="25"/>
      <c r="F136" s="25"/>
      <c r="G136" s="25"/>
      <c r="H136" s="25"/>
      <c r="I136" s="26"/>
      <c r="J136" s="26"/>
      <c r="K136" s="26"/>
      <c r="L136" s="30" t="str">
        <f aca="true">IF(OR($J136="",$H136="Done",$H136="Cancelled"),"",$J136-TODAY())</f>
        <v/>
      </c>
      <c r="M136" s="29" t="str">
        <f aca="true">IF(AND($J136&lt;&gt;"",$H136&lt;&gt;"Done",$H136&lt;&gt;"Cancelled",$J136&lt;TODAY()),"OVERDUE","")</f>
        <v/>
      </c>
      <c r="N136" s="25"/>
      <c r="O136" s="26"/>
      <c r="P136" s="25"/>
    </row>
    <row r="137" customFormat="false" ht="15" hidden="false" customHeight="false" outlineLevel="0" collapsed="false">
      <c r="A137" s="25"/>
      <c r="B137" s="25"/>
      <c r="C137" s="29" t="str">
        <f aca="false">IF($B137="","",IFERROR(INDEX(Projects!$B$5:$B$204,MATCH($B137,Projects!$A$5:$A$204,0)),"Unknown project ID"))</f>
        <v/>
      </c>
      <c r="D137" s="25"/>
      <c r="E137" s="25"/>
      <c r="F137" s="25"/>
      <c r="G137" s="25"/>
      <c r="H137" s="25"/>
      <c r="I137" s="26"/>
      <c r="J137" s="26"/>
      <c r="K137" s="26"/>
      <c r="L137" s="30" t="str">
        <f aca="true">IF(OR($J137="",$H137="Done",$H137="Cancelled"),"",$J137-TODAY())</f>
        <v/>
      </c>
      <c r="M137" s="29" t="str">
        <f aca="true">IF(AND($J137&lt;&gt;"",$H137&lt;&gt;"Done",$H137&lt;&gt;"Cancelled",$J137&lt;TODAY()),"OVERDUE","")</f>
        <v/>
      </c>
      <c r="N137" s="25"/>
      <c r="O137" s="26"/>
      <c r="P137" s="25"/>
    </row>
    <row r="138" customFormat="false" ht="15" hidden="false" customHeight="false" outlineLevel="0" collapsed="false">
      <c r="A138" s="25"/>
      <c r="B138" s="25"/>
      <c r="C138" s="29" t="str">
        <f aca="false">IF($B138="","",IFERROR(INDEX(Projects!$B$5:$B$204,MATCH($B138,Projects!$A$5:$A$204,0)),"Unknown project ID"))</f>
        <v/>
      </c>
      <c r="D138" s="25"/>
      <c r="E138" s="25"/>
      <c r="F138" s="25"/>
      <c r="G138" s="25"/>
      <c r="H138" s="25"/>
      <c r="I138" s="26"/>
      <c r="J138" s="26"/>
      <c r="K138" s="26"/>
      <c r="L138" s="30" t="str">
        <f aca="true">IF(OR($J138="",$H138="Done",$H138="Cancelled"),"",$J138-TODAY())</f>
        <v/>
      </c>
      <c r="M138" s="29" t="str">
        <f aca="true">IF(AND($J138&lt;&gt;"",$H138&lt;&gt;"Done",$H138&lt;&gt;"Cancelled",$J138&lt;TODAY()),"OVERDUE","")</f>
        <v/>
      </c>
      <c r="N138" s="25"/>
      <c r="O138" s="26"/>
      <c r="P138" s="25"/>
    </row>
    <row r="139" customFormat="false" ht="15" hidden="false" customHeight="false" outlineLevel="0" collapsed="false">
      <c r="A139" s="25"/>
      <c r="B139" s="25"/>
      <c r="C139" s="29" t="str">
        <f aca="false">IF($B139="","",IFERROR(INDEX(Projects!$B$5:$B$204,MATCH($B139,Projects!$A$5:$A$204,0)),"Unknown project ID"))</f>
        <v/>
      </c>
      <c r="D139" s="25"/>
      <c r="E139" s="25"/>
      <c r="F139" s="25"/>
      <c r="G139" s="25"/>
      <c r="H139" s="25"/>
      <c r="I139" s="26"/>
      <c r="J139" s="26"/>
      <c r="K139" s="26"/>
      <c r="L139" s="30" t="str">
        <f aca="true">IF(OR($J139="",$H139="Done",$H139="Cancelled"),"",$J139-TODAY())</f>
        <v/>
      </c>
      <c r="M139" s="29" t="str">
        <f aca="true">IF(AND($J139&lt;&gt;"",$H139&lt;&gt;"Done",$H139&lt;&gt;"Cancelled",$J139&lt;TODAY()),"OVERDUE","")</f>
        <v/>
      </c>
      <c r="N139" s="25"/>
      <c r="O139" s="26"/>
      <c r="P139" s="25"/>
    </row>
    <row r="140" customFormat="false" ht="15" hidden="false" customHeight="false" outlineLevel="0" collapsed="false">
      <c r="A140" s="25"/>
      <c r="B140" s="25"/>
      <c r="C140" s="29" t="str">
        <f aca="false">IF($B140="","",IFERROR(INDEX(Projects!$B$5:$B$204,MATCH($B140,Projects!$A$5:$A$204,0)),"Unknown project ID"))</f>
        <v/>
      </c>
      <c r="D140" s="25"/>
      <c r="E140" s="25"/>
      <c r="F140" s="25"/>
      <c r="G140" s="25"/>
      <c r="H140" s="25"/>
      <c r="I140" s="26"/>
      <c r="J140" s="26"/>
      <c r="K140" s="26"/>
      <c r="L140" s="30" t="str">
        <f aca="true">IF(OR($J140="",$H140="Done",$H140="Cancelled"),"",$J140-TODAY())</f>
        <v/>
      </c>
      <c r="M140" s="29" t="str">
        <f aca="true">IF(AND($J140&lt;&gt;"",$H140&lt;&gt;"Done",$H140&lt;&gt;"Cancelled",$J140&lt;TODAY()),"OVERDUE","")</f>
        <v/>
      </c>
      <c r="N140" s="25"/>
      <c r="O140" s="26"/>
      <c r="P140" s="25"/>
    </row>
    <row r="141" customFormat="false" ht="15" hidden="false" customHeight="false" outlineLevel="0" collapsed="false">
      <c r="A141" s="25"/>
      <c r="B141" s="25"/>
      <c r="C141" s="29" t="str">
        <f aca="false">IF($B141="","",IFERROR(INDEX(Projects!$B$5:$B$204,MATCH($B141,Projects!$A$5:$A$204,0)),"Unknown project ID"))</f>
        <v/>
      </c>
      <c r="D141" s="25"/>
      <c r="E141" s="25"/>
      <c r="F141" s="25"/>
      <c r="G141" s="25"/>
      <c r="H141" s="25"/>
      <c r="I141" s="26"/>
      <c r="J141" s="26"/>
      <c r="K141" s="26"/>
      <c r="L141" s="30" t="str">
        <f aca="true">IF(OR($J141="",$H141="Done",$H141="Cancelled"),"",$J141-TODAY())</f>
        <v/>
      </c>
      <c r="M141" s="29" t="str">
        <f aca="true">IF(AND($J141&lt;&gt;"",$H141&lt;&gt;"Done",$H141&lt;&gt;"Cancelled",$J141&lt;TODAY()),"OVERDUE","")</f>
        <v/>
      </c>
      <c r="N141" s="25"/>
      <c r="O141" s="26"/>
      <c r="P141" s="25"/>
    </row>
    <row r="142" customFormat="false" ht="15" hidden="false" customHeight="false" outlineLevel="0" collapsed="false">
      <c r="A142" s="25"/>
      <c r="B142" s="25"/>
      <c r="C142" s="29" t="str">
        <f aca="false">IF($B142="","",IFERROR(INDEX(Projects!$B$5:$B$204,MATCH($B142,Projects!$A$5:$A$204,0)),"Unknown project ID"))</f>
        <v/>
      </c>
      <c r="D142" s="25"/>
      <c r="E142" s="25"/>
      <c r="F142" s="25"/>
      <c r="G142" s="25"/>
      <c r="H142" s="25"/>
      <c r="I142" s="26"/>
      <c r="J142" s="26"/>
      <c r="K142" s="26"/>
      <c r="L142" s="30" t="str">
        <f aca="true">IF(OR($J142="",$H142="Done",$H142="Cancelled"),"",$J142-TODAY())</f>
        <v/>
      </c>
      <c r="M142" s="29" t="str">
        <f aca="true">IF(AND($J142&lt;&gt;"",$H142&lt;&gt;"Done",$H142&lt;&gt;"Cancelled",$J142&lt;TODAY()),"OVERDUE","")</f>
        <v/>
      </c>
      <c r="N142" s="25"/>
      <c r="O142" s="26"/>
      <c r="P142" s="25"/>
    </row>
    <row r="143" customFormat="false" ht="15" hidden="false" customHeight="false" outlineLevel="0" collapsed="false">
      <c r="A143" s="25"/>
      <c r="B143" s="25"/>
      <c r="C143" s="29" t="str">
        <f aca="false">IF($B143="","",IFERROR(INDEX(Projects!$B$5:$B$204,MATCH($B143,Projects!$A$5:$A$204,0)),"Unknown project ID"))</f>
        <v/>
      </c>
      <c r="D143" s="25"/>
      <c r="E143" s="25"/>
      <c r="F143" s="25"/>
      <c r="G143" s="25"/>
      <c r="H143" s="25"/>
      <c r="I143" s="26"/>
      <c r="J143" s="26"/>
      <c r="K143" s="26"/>
      <c r="L143" s="30" t="str">
        <f aca="true">IF(OR($J143="",$H143="Done",$H143="Cancelled"),"",$J143-TODAY())</f>
        <v/>
      </c>
      <c r="M143" s="29" t="str">
        <f aca="true">IF(AND($J143&lt;&gt;"",$H143&lt;&gt;"Done",$H143&lt;&gt;"Cancelled",$J143&lt;TODAY()),"OVERDUE","")</f>
        <v/>
      </c>
      <c r="N143" s="25"/>
      <c r="O143" s="26"/>
      <c r="P143" s="25"/>
    </row>
    <row r="144" customFormat="false" ht="15" hidden="false" customHeight="false" outlineLevel="0" collapsed="false">
      <c r="A144" s="25"/>
      <c r="B144" s="25"/>
      <c r="C144" s="29" t="str">
        <f aca="false">IF($B144="","",IFERROR(INDEX(Projects!$B$5:$B$204,MATCH($B144,Projects!$A$5:$A$204,0)),"Unknown project ID"))</f>
        <v/>
      </c>
      <c r="D144" s="25"/>
      <c r="E144" s="25"/>
      <c r="F144" s="25"/>
      <c r="G144" s="25"/>
      <c r="H144" s="25"/>
      <c r="I144" s="26"/>
      <c r="J144" s="26"/>
      <c r="K144" s="26"/>
      <c r="L144" s="30" t="str">
        <f aca="true">IF(OR($J144="",$H144="Done",$H144="Cancelled"),"",$J144-TODAY())</f>
        <v/>
      </c>
      <c r="M144" s="29" t="str">
        <f aca="true">IF(AND($J144&lt;&gt;"",$H144&lt;&gt;"Done",$H144&lt;&gt;"Cancelled",$J144&lt;TODAY()),"OVERDUE","")</f>
        <v/>
      </c>
      <c r="N144" s="25"/>
      <c r="O144" s="26"/>
      <c r="P144" s="25"/>
    </row>
    <row r="145" customFormat="false" ht="15" hidden="false" customHeight="false" outlineLevel="0" collapsed="false">
      <c r="A145" s="25"/>
      <c r="B145" s="25"/>
      <c r="C145" s="29" t="str">
        <f aca="false">IF($B145="","",IFERROR(INDEX(Projects!$B$5:$B$204,MATCH($B145,Projects!$A$5:$A$204,0)),"Unknown project ID"))</f>
        <v/>
      </c>
      <c r="D145" s="25"/>
      <c r="E145" s="25"/>
      <c r="F145" s="25"/>
      <c r="G145" s="25"/>
      <c r="H145" s="25"/>
      <c r="I145" s="26"/>
      <c r="J145" s="26"/>
      <c r="K145" s="26"/>
      <c r="L145" s="30" t="str">
        <f aca="true">IF(OR($J145="",$H145="Done",$H145="Cancelled"),"",$J145-TODAY())</f>
        <v/>
      </c>
      <c r="M145" s="29" t="str">
        <f aca="true">IF(AND($J145&lt;&gt;"",$H145&lt;&gt;"Done",$H145&lt;&gt;"Cancelled",$J145&lt;TODAY()),"OVERDUE","")</f>
        <v/>
      </c>
      <c r="N145" s="25"/>
      <c r="O145" s="26"/>
      <c r="P145" s="25"/>
    </row>
    <row r="146" customFormat="false" ht="15" hidden="false" customHeight="false" outlineLevel="0" collapsed="false">
      <c r="A146" s="25"/>
      <c r="B146" s="25"/>
      <c r="C146" s="29" t="str">
        <f aca="false">IF($B146="","",IFERROR(INDEX(Projects!$B$5:$B$204,MATCH($B146,Projects!$A$5:$A$204,0)),"Unknown project ID"))</f>
        <v/>
      </c>
      <c r="D146" s="25"/>
      <c r="E146" s="25"/>
      <c r="F146" s="25"/>
      <c r="G146" s="25"/>
      <c r="H146" s="25"/>
      <c r="I146" s="26"/>
      <c r="J146" s="26"/>
      <c r="K146" s="26"/>
      <c r="L146" s="30" t="str">
        <f aca="true">IF(OR($J146="",$H146="Done",$H146="Cancelled"),"",$J146-TODAY())</f>
        <v/>
      </c>
      <c r="M146" s="29" t="str">
        <f aca="true">IF(AND($J146&lt;&gt;"",$H146&lt;&gt;"Done",$H146&lt;&gt;"Cancelled",$J146&lt;TODAY()),"OVERDUE","")</f>
        <v/>
      </c>
      <c r="N146" s="25"/>
      <c r="O146" s="26"/>
      <c r="P146" s="25"/>
    </row>
    <row r="147" customFormat="false" ht="15" hidden="false" customHeight="false" outlineLevel="0" collapsed="false">
      <c r="A147" s="25"/>
      <c r="B147" s="25"/>
      <c r="C147" s="29" t="str">
        <f aca="false">IF($B147="","",IFERROR(INDEX(Projects!$B$5:$B$204,MATCH($B147,Projects!$A$5:$A$204,0)),"Unknown project ID"))</f>
        <v/>
      </c>
      <c r="D147" s="25"/>
      <c r="E147" s="25"/>
      <c r="F147" s="25"/>
      <c r="G147" s="25"/>
      <c r="H147" s="25"/>
      <c r="I147" s="26"/>
      <c r="J147" s="26"/>
      <c r="K147" s="26"/>
      <c r="L147" s="30" t="str">
        <f aca="true">IF(OR($J147="",$H147="Done",$H147="Cancelled"),"",$J147-TODAY())</f>
        <v/>
      </c>
      <c r="M147" s="29" t="str">
        <f aca="true">IF(AND($J147&lt;&gt;"",$H147&lt;&gt;"Done",$H147&lt;&gt;"Cancelled",$J147&lt;TODAY()),"OVERDUE","")</f>
        <v/>
      </c>
      <c r="N147" s="25"/>
      <c r="O147" s="26"/>
      <c r="P147" s="25"/>
    </row>
    <row r="148" customFormat="false" ht="15" hidden="false" customHeight="false" outlineLevel="0" collapsed="false">
      <c r="A148" s="25"/>
      <c r="B148" s="25"/>
      <c r="C148" s="29" t="str">
        <f aca="false">IF($B148="","",IFERROR(INDEX(Projects!$B$5:$B$204,MATCH($B148,Projects!$A$5:$A$204,0)),"Unknown project ID"))</f>
        <v/>
      </c>
      <c r="D148" s="25"/>
      <c r="E148" s="25"/>
      <c r="F148" s="25"/>
      <c r="G148" s="25"/>
      <c r="H148" s="25"/>
      <c r="I148" s="26"/>
      <c r="J148" s="26"/>
      <c r="K148" s="26"/>
      <c r="L148" s="30" t="str">
        <f aca="true">IF(OR($J148="",$H148="Done",$H148="Cancelled"),"",$J148-TODAY())</f>
        <v/>
      </c>
      <c r="M148" s="29" t="str">
        <f aca="true">IF(AND($J148&lt;&gt;"",$H148&lt;&gt;"Done",$H148&lt;&gt;"Cancelled",$J148&lt;TODAY()),"OVERDUE","")</f>
        <v/>
      </c>
      <c r="N148" s="25"/>
      <c r="O148" s="26"/>
      <c r="P148" s="25"/>
    </row>
    <row r="149" customFormat="false" ht="15" hidden="false" customHeight="false" outlineLevel="0" collapsed="false">
      <c r="A149" s="25"/>
      <c r="B149" s="25"/>
      <c r="C149" s="29" t="str">
        <f aca="false">IF($B149="","",IFERROR(INDEX(Projects!$B$5:$B$204,MATCH($B149,Projects!$A$5:$A$204,0)),"Unknown project ID"))</f>
        <v/>
      </c>
      <c r="D149" s="25"/>
      <c r="E149" s="25"/>
      <c r="F149" s="25"/>
      <c r="G149" s="25"/>
      <c r="H149" s="25"/>
      <c r="I149" s="26"/>
      <c r="J149" s="26"/>
      <c r="K149" s="26"/>
      <c r="L149" s="30" t="str">
        <f aca="true">IF(OR($J149="",$H149="Done",$H149="Cancelled"),"",$J149-TODAY())</f>
        <v/>
      </c>
      <c r="M149" s="29" t="str">
        <f aca="true">IF(AND($J149&lt;&gt;"",$H149&lt;&gt;"Done",$H149&lt;&gt;"Cancelled",$J149&lt;TODAY()),"OVERDUE","")</f>
        <v/>
      </c>
      <c r="N149" s="25"/>
      <c r="O149" s="26"/>
      <c r="P149" s="25"/>
    </row>
    <row r="150" customFormat="false" ht="15" hidden="false" customHeight="false" outlineLevel="0" collapsed="false">
      <c r="A150" s="25"/>
      <c r="B150" s="25"/>
      <c r="C150" s="29" t="str">
        <f aca="false">IF($B150="","",IFERROR(INDEX(Projects!$B$5:$B$204,MATCH($B150,Projects!$A$5:$A$204,0)),"Unknown project ID"))</f>
        <v/>
      </c>
      <c r="D150" s="25"/>
      <c r="E150" s="25"/>
      <c r="F150" s="25"/>
      <c r="G150" s="25"/>
      <c r="H150" s="25"/>
      <c r="I150" s="26"/>
      <c r="J150" s="26"/>
      <c r="K150" s="26"/>
      <c r="L150" s="30" t="str">
        <f aca="true">IF(OR($J150="",$H150="Done",$H150="Cancelled"),"",$J150-TODAY())</f>
        <v/>
      </c>
      <c r="M150" s="29" t="str">
        <f aca="true">IF(AND($J150&lt;&gt;"",$H150&lt;&gt;"Done",$H150&lt;&gt;"Cancelled",$J150&lt;TODAY()),"OVERDUE","")</f>
        <v/>
      </c>
      <c r="N150" s="25"/>
      <c r="O150" s="26"/>
      <c r="P150" s="25"/>
    </row>
    <row r="151" customFormat="false" ht="15" hidden="false" customHeight="false" outlineLevel="0" collapsed="false">
      <c r="A151" s="25"/>
      <c r="B151" s="25"/>
      <c r="C151" s="29" t="str">
        <f aca="false">IF($B151="","",IFERROR(INDEX(Projects!$B$5:$B$204,MATCH($B151,Projects!$A$5:$A$204,0)),"Unknown project ID"))</f>
        <v/>
      </c>
      <c r="D151" s="25"/>
      <c r="E151" s="25"/>
      <c r="F151" s="25"/>
      <c r="G151" s="25"/>
      <c r="H151" s="25"/>
      <c r="I151" s="26"/>
      <c r="J151" s="26"/>
      <c r="K151" s="26"/>
      <c r="L151" s="30" t="str">
        <f aca="true">IF(OR($J151="",$H151="Done",$H151="Cancelled"),"",$J151-TODAY())</f>
        <v/>
      </c>
      <c r="M151" s="29" t="str">
        <f aca="true">IF(AND($J151&lt;&gt;"",$H151&lt;&gt;"Done",$H151&lt;&gt;"Cancelled",$J151&lt;TODAY()),"OVERDUE","")</f>
        <v/>
      </c>
      <c r="N151" s="25"/>
      <c r="O151" s="26"/>
      <c r="P151" s="25"/>
    </row>
    <row r="152" customFormat="false" ht="15" hidden="false" customHeight="false" outlineLevel="0" collapsed="false">
      <c r="A152" s="25"/>
      <c r="B152" s="25"/>
      <c r="C152" s="29" t="str">
        <f aca="false">IF($B152="","",IFERROR(INDEX(Projects!$B$5:$B$204,MATCH($B152,Projects!$A$5:$A$204,0)),"Unknown project ID"))</f>
        <v/>
      </c>
      <c r="D152" s="25"/>
      <c r="E152" s="25"/>
      <c r="F152" s="25"/>
      <c r="G152" s="25"/>
      <c r="H152" s="25"/>
      <c r="I152" s="26"/>
      <c r="J152" s="26"/>
      <c r="K152" s="26"/>
      <c r="L152" s="30" t="str">
        <f aca="true">IF(OR($J152="",$H152="Done",$H152="Cancelled"),"",$J152-TODAY())</f>
        <v/>
      </c>
      <c r="M152" s="29" t="str">
        <f aca="true">IF(AND($J152&lt;&gt;"",$H152&lt;&gt;"Done",$H152&lt;&gt;"Cancelled",$J152&lt;TODAY()),"OVERDUE","")</f>
        <v/>
      </c>
      <c r="N152" s="25"/>
      <c r="O152" s="26"/>
      <c r="P152" s="25"/>
    </row>
    <row r="153" customFormat="false" ht="15" hidden="false" customHeight="false" outlineLevel="0" collapsed="false">
      <c r="A153" s="25"/>
      <c r="B153" s="25"/>
      <c r="C153" s="29" t="str">
        <f aca="false">IF($B153="","",IFERROR(INDEX(Projects!$B$5:$B$204,MATCH($B153,Projects!$A$5:$A$204,0)),"Unknown project ID"))</f>
        <v/>
      </c>
      <c r="D153" s="25"/>
      <c r="E153" s="25"/>
      <c r="F153" s="25"/>
      <c r="G153" s="25"/>
      <c r="H153" s="25"/>
      <c r="I153" s="26"/>
      <c r="J153" s="26"/>
      <c r="K153" s="26"/>
      <c r="L153" s="30" t="str">
        <f aca="true">IF(OR($J153="",$H153="Done",$H153="Cancelled"),"",$J153-TODAY())</f>
        <v/>
      </c>
      <c r="M153" s="29" t="str">
        <f aca="true">IF(AND($J153&lt;&gt;"",$H153&lt;&gt;"Done",$H153&lt;&gt;"Cancelled",$J153&lt;TODAY()),"OVERDUE","")</f>
        <v/>
      </c>
      <c r="N153" s="25"/>
      <c r="O153" s="26"/>
      <c r="P153" s="25"/>
    </row>
    <row r="154" customFormat="false" ht="15" hidden="false" customHeight="false" outlineLevel="0" collapsed="false">
      <c r="A154" s="25"/>
      <c r="B154" s="25"/>
      <c r="C154" s="29" t="str">
        <f aca="false">IF($B154="","",IFERROR(INDEX(Projects!$B$5:$B$204,MATCH($B154,Projects!$A$5:$A$204,0)),"Unknown project ID"))</f>
        <v/>
      </c>
      <c r="D154" s="25"/>
      <c r="E154" s="25"/>
      <c r="F154" s="25"/>
      <c r="G154" s="25"/>
      <c r="H154" s="25"/>
      <c r="I154" s="26"/>
      <c r="J154" s="26"/>
      <c r="K154" s="26"/>
      <c r="L154" s="30" t="str">
        <f aca="true">IF(OR($J154="",$H154="Done",$H154="Cancelled"),"",$J154-TODAY())</f>
        <v/>
      </c>
      <c r="M154" s="29" t="str">
        <f aca="true">IF(AND($J154&lt;&gt;"",$H154&lt;&gt;"Done",$H154&lt;&gt;"Cancelled",$J154&lt;TODAY()),"OVERDUE","")</f>
        <v/>
      </c>
      <c r="N154" s="25"/>
      <c r="O154" s="26"/>
      <c r="P154" s="25"/>
    </row>
    <row r="155" customFormat="false" ht="15" hidden="false" customHeight="false" outlineLevel="0" collapsed="false">
      <c r="A155" s="25"/>
      <c r="B155" s="25"/>
      <c r="C155" s="29" t="str">
        <f aca="false">IF($B155="","",IFERROR(INDEX(Projects!$B$5:$B$204,MATCH($B155,Projects!$A$5:$A$204,0)),"Unknown project ID"))</f>
        <v/>
      </c>
      <c r="D155" s="25"/>
      <c r="E155" s="25"/>
      <c r="F155" s="25"/>
      <c r="G155" s="25"/>
      <c r="H155" s="25"/>
      <c r="I155" s="26"/>
      <c r="J155" s="26"/>
      <c r="K155" s="26"/>
      <c r="L155" s="30" t="str">
        <f aca="true">IF(OR($J155="",$H155="Done",$H155="Cancelled"),"",$J155-TODAY())</f>
        <v/>
      </c>
      <c r="M155" s="29" t="str">
        <f aca="true">IF(AND($J155&lt;&gt;"",$H155&lt;&gt;"Done",$H155&lt;&gt;"Cancelled",$J155&lt;TODAY()),"OVERDUE","")</f>
        <v/>
      </c>
      <c r="N155" s="25"/>
      <c r="O155" s="26"/>
      <c r="P155" s="25"/>
    </row>
    <row r="156" customFormat="false" ht="15" hidden="false" customHeight="false" outlineLevel="0" collapsed="false">
      <c r="A156" s="25"/>
      <c r="B156" s="25"/>
      <c r="C156" s="29" t="str">
        <f aca="false">IF($B156="","",IFERROR(INDEX(Projects!$B$5:$B$204,MATCH($B156,Projects!$A$5:$A$204,0)),"Unknown project ID"))</f>
        <v/>
      </c>
      <c r="D156" s="25"/>
      <c r="E156" s="25"/>
      <c r="F156" s="25"/>
      <c r="G156" s="25"/>
      <c r="H156" s="25"/>
      <c r="I156" s="26"/>
      <c r="J156" s="26"/>
      <c r="K156" s="26"/>
      <c r="L156" s="30" t="str">
        <f aca="true">IF(OR($J156="",$H156="Done",$H156="Cancelled"),"",$J156-TODAY())</f>
        <v/>
      </c>
      <c r="M156" s="29" t="str">
        <f aca="true">IF(AND($J156&lt;&gt;"",$H156&lt;&gt;"Done",$H156&lt;&gt;"Cancelled",$J156&lt;TODAY()),"OVERDUE","")</f>
        <v/>
      </c>
      <c r="N156" s="25"/>
      <c r="O156" s="26"/>
      <c r="P156" s="25"/>
    </row>
    <row r="157" customFormat="false" ht="15" hidden="false" customHeight="false" outlineLevel="0" collapsed="false">
      <c r="A157" s="25"/>
      <c r="B157" s="25"/>
      <c r="C157" s="29" t="str">
        <f aca="false">IF($B157="","",IFERROR(INDEX(Projects!$B$5:$B$204,MATCH($B157,Projects!$A$5:$A$204,0)),"Unknown project ID"))</f>
        <v/>
      </c>
      <c r="D157" s="25"/>
      <c r="E157" s="25"/>
      <c r="F157" s="25"/>
      <c r="G157" s="25"/>
      <c r="H157" s="25"/>
      <c r="I157" s="26"/>
      <c r="J157" s="26"/>
      <c r="K157" s="26"/>
      <c r="L157" s="30" t="str">
        <f aca="true">IF(OR($J157="",$H157="Done",$H157="Cancelled"),"",$J157-TODAY())</f>
        <v/>
      </c>
      <c r="M157" s="29" t="str">
        <f aca="true">IF(AND($J157&lt;&gt;"",$H157&lt;&gt;"Done",$H157&lt;&gt;"Cancelled",$J157&lt;TODAY()),"OVERDUE","")</f>
        <v/>
      </c>
      <c r="N157" s="25"/>
      <c r="O157" s="26"/>
      <c r="P157" s="25"/>
    </row>
    <row r="158" customFormat="false" ht="15" hidden="false" customHeight="false" outlineLevel="0" collapsed="false">
      <c r="A158" s="25"/>
      <c r="B158" s="25"/>
      <c r="C158" s="29" t="str">
        <f aca="false">IF($B158="","",IFERROR(INDEX(Projects!$B$5:$B$204,MATCH($B158,Projects!$A$5:$A$204,0)),"Unknown project ID"))</f>
        <v/>
      </c>
      <c r="D158" s="25"/>
      <c r="E158" s="25"/>
      <c r="F158" s="25"/>
      <c r="G158" s="25"/>
      <c r="H158" s="25"/>
      <c r="I158" s="26"/>
      <c r="J158" s="26"/>
      <c r="K158" s="26"/>
      <c r="L158" s="30" t="str">
        <f aca="true">IF(OR($J158="",$H158="Done",$H158="Cancelled"),"",$J158-TODAY())</f>
        <v/>
      </c>
      <c r="M158" s="29" t="str">
        <f aca="true">IF(AND($J158&lt;&gt;"",$H158&lt;&gt;"Done",$H158&lt;&gt;"Cancelled",$J158&lt;TODAY()),"OVERDUE","")</f>
        <v/>
      </c>
      <c r="N158" s="25"/>
      <c r="O158" s="26"/>
      <c r="P158" s="25"/>
    </row>
    <row r="159" customFormat="false" ht="15" hidden="false" customHeight="false" outlineLevel="0" collapsed="false">
      <c r="A159" s="25"/>
      <c r="B159" s="25"/>
      <c r="C159" s="29" t="str">
        <f aca="false">IF($B159="","",IFERROR(INDEX(Projects!$B$5:$B$204,MATCH($B159,Projects!$A$5:$A$204,0)),"Unknown project ID"))</f>
        <v/>
      </c>
      <c r="D159" s="25"/>
      <c r="E159" s="25"/>
      <c r="F159" s="25"/>
      <c r="G159" s="25"/>
      <c r="H159" s="25"/>
      <c r="I159" s="26"/>
      <c r="J159" s="26"/>
      <c r="K159" s="26"/>
      <c r="L159" s="30" t="str">
        <f aca="true">IF(OR($J159="",$H159="Done",$H159="Cancelled"),"",$J159-TODAY())</f>
        <v/>
      </c>
      <c r="M159" s="29" t="str">
        <f aca="true">IF(AND($J159&lt;&gt;"",$H159&lt;&gt;"Done",$H159&lt;&gt;"Cancelled",$J159&lt;TODAY()),"OVERDUE","")</f>
        <v/>
      </c>
      <c r="N159" s="25"/>
      <c r="O159" s="26"/>
      <c r="P159" s="25"/>
    </row>
    <row r="160" customFormat="false" ht="15" hidden="false" customHeight="false" outlineLevel="0" collapsed="false">
      <c r="A160" s="25"/>
      <c r="B160" s="25"/>
      <c r="C160" s="29" t="str">
        <f aca="false">IF($B160="","",IFERROR(INDEX(Projects!$B$5:$B$204,MATCH($B160,Projects!$A$5:$A$204,0)),"Unknown project ID"))</f>
        <v/>
      </c>
      <c r="D160" s="25"/>
      <c r="E160" s="25"/>
      <c r="F160" s="25"/>
      <c r="G160" s="25"/>
      <c r="H160" s="25"/>
      <c r="I160" s="26"/>
      <c r="J160" s="26"/>
      <c r="K160" s="26"/>
      <c r="L160" s="30" t="str">
        <f aca="true">IF(OR($J160="",$H160="Done",$H160="Cancelled"),"",$J160-TODAY())</f>
        <v/>
      </c>
      <c r="M160" s="29" t="str">
        <f aca="true">IF(AND($J160&lt;&gt;"",$H160&lt;&gt;"Done",$H160&lt;&gt;"Cancelled",$J160&lt;TODAY()),"OVERDUE","")</f>
        <v/>
      </c>
      <c r="N160" s="25"/>
      <c r="O160" s="26"/>
      <c r="P160" s="25"/>
    </row>
    <row r="161" customFormat="false" ht="15" hidden="false" customHeight="false" outlineLevel="0" collapsed="false">
      <c r="A161" s="25"/>
      <c r="B161" s="25"/>
      <c r="C161" s="29" t="str">
        <f aca="false">IF($B161="","",IFERROR(INDEX(Projects!$B$5:$B$204,MATCH($B161,Projects!$A$5:$A$204,0)),"Unknown project ID"))</f>
        <v/>
      </c>
      <c r="D161" s="25"/>
      <c r="E161" s="25"/>
      <c r="F161" s="25"/>
      <c r="G161" s="25"/>
      <c r="H161" s="25"/>
      <c r="I161" s="26"/>
      <c r="J161" s="26"/>
      <c r="K161" s="26"/>
      <c r="L161" s="30" t="str">
        <f aca="true">IF(OR($J161="",$H161="Done",$H161="Cancelled"),"",$J161-TODAY())</f>
        <v/>
      </c>
      <c r="M161" s="29" t="str">
        <f aca="true">IF(AND($J161&lt;&gt;"",$H161&lt;&gt;"Done",$H161&lt;&gt;"Cancelled",$J161&lt;TODAY()),"OVERDUE","")</f>
        <v/>
      </c>
      <c r="N161" s="25"/>
      <c r="O161" s="26"/>
      <c r="P161" s="25"/>
    </row>
    <row r="162" customFormat="false" ht="15" hidden="false" customHeight="false" outlineLevel="0" collapsed="false">
      <c r="A162" s="25"/>
      <c r="B162" s="25"/>
      <c r="C162" s="29" t="str">
        <f aca="false">IF($B162="","",IFERROR(INDEX(Projects!$B$5:$B$204,MATCH($B162,Projects!$A$5:$A$204,0)),"Unknown project ID"))</f>
        <v/>
      </c>
      <c r="D162" s="25"/>
      <c r="E162" s="25"/>
      <c r="F162" s="25"/>
      <c r="G162" s="25"/>
      <c r="H162" s="25"/>
      <c r="I162" s="26"/>
      <c r="J162" s="26"/>
      <c r="K162" s="26"/>
      <c r="L162" s="30" t="str">
        <f aca="true">IF(OR($J162="",$H162="Done",$H162="Cancelled"),"",$J162-TODAY())</f>
        <v/>
      </c>
      <c r="M162" s="29" t="str">
        <f aca="true">IF(AND($J162&lt;&gt;"",$H162&lt;&gt;"Done",$H162&lt;&gt;"Cancelled",$J162&lt;TODAY()),"OVERDUE","")</f>
        <v/>
      </c>
      <c r="N162" s="25"/>
      <c r="O162" s="26"/>
      <c r="P162" s="25"/>
    </row>
    <row r="163" customFormat="false" ht="15" hidden="false" customHeight="false" outlineLevel="0" collapsed="false">
      <c r="A163" s="25"/>
      <c r="B163" s="25"/>
      <c r="C163" s="29" t="str">
        <f aca="false">IF($B163="","",IFERROR(INDEX(Projects!$B$5:$B$204,MATCH($B163,Projects!$A$5:$A$204,0)),"Unknown project ID"))</f>
        <v/>
      </c>
      <c r="D163" s="25"/>
      <c r="E163" s="25"/>
      <c r="F163" s="25"/>
      <c r="G163" s="25"/>
      <c r="H163" s="25"/>
      <c r="I163" s="26"/>
      <c r="J163" s="26"/>
      <c r="K163" s="26"/>
      <c r="L163" s="30" t="str">
        <f aca="true">IF(OR($J163="",$H163="Done",$H163="Cancelled"),"",$J163-TODAY())</f>
        <v/>
      </c>
      <c r="M163" s="29" t="str">
        <f aca="true">IF(AND($J163&lt;&gt;"",$H163&lt;&gt;"Done",$H163&lt;&gt;"Cancelled",$J163&lt;TODAY()),"OVERDUE","")</f>
        <v/>
      </c>
      <c r="N163" s="25"/>
      <c r="O163" s="26"/>
      <c r="P163" s="25"/>
    </row>
    <row r="164" customFormat="false" ht="15" hidden="false" customHeight="false" outlineLevel="0" collapsed="false">
      <c r="A164" s="25"/>
      <c r="B164" s="25"/>
      <c r="C164" s="29" t="str">
        <f aca="false">IF($B164="","",IFERROR(INDEX(Projects!$B$5:$B$204,MATCH($B164,Projects!$A$5:$A$204,0)),"Unknown project ID"))</f>
        <v/>
      </c>
      <c r="D164" s="25"/>
      <c r="E164" s="25"/>
      <c r="F164" s="25"/>
      <c r="G164" s="25"/>
      <c r="H164" s="25"/>
      <c r="I164" s="26"/>
      <c r="J164" s="26"/>
      <c r="K164" s="26"/>
      <c r="L164" s="30" t="str">
        <f aca="true">IF(OR($J164="",$H164="Done",$H164="Cancelled"),"",$J164-TODAY())</f>
        <v/>
      </c>
      <c r="M164" s="29" t="str">
        <f aca="true">IF(AND($J164&lt;&gt;"",$H164&lt;&gt;"Done",$H164&lt;&gt;"Cancelled",$J164&lt;TODAY()),"OVERDUE","")</f>
        <v/>
      </c>
      <c r="N164" s="25"/>
      <c r="O164" s="26"/>
      <c r="P164" s="25"/>
    </row>
    <row r="165" customFormat="false" ht="15" hidden="false" customHeight="false" outlineLevel="0" collapsed="false">
      <c r="A165" s="25"/>
      <c r="B165" s="25"/>
      <c r="C165" s="29" t="str">
        <f aca="false">IF($B165="","",IFERROR(INDEX(Projects!$B$5:$B$204,MATCH($B165,Projects!$A$5:$A$204,0)),"Unknown project ID"))</f>
        <v/>
      </c>
      <c r="D165" s="25"/>
      <c r="E165" s="25"/>
      <c r="F165" s="25"/>
      <c r="G165" s="25"/>
      <c r="H165" s="25"/>
      <c r="I165" s="26"/>
      <c r="J165" s="26"/>
      <c r="K165" s="26"/>
      <c r="L165" s="30" t="str">
        <f aca="true">IF(OR($J165="",$H165="Done",$H165="Cancelled"),"",$J165-TODAY())</f>
        <v/>
      </c>
      <c r="M165" s="29" t="str">
        <f aca="true">IF(AND($J165&lt;&gt;"",$H165&lt;&gt;"Done",$H165&lt;&gt;"Cancelled",$J165&lt;TODAY()),"OVERDUE","")</f>
        <v/>
      </c>
      <c r="N165" s="25"/>
      <c r="O165" s="26"/>
      <c r="P165" s="25"/>
    </row>
    <row r="166" customFormat="false" ht="15" hidden="false" customHeight="false" outlineLevel="0" collapsed="false">
      <c r="A166" s="25"/>
      <c r="B166" s="25"/>
      <c r="C166" s="29" t="str">
        <f aca="false">IF($B166="","",IFERROR(INDEX(Projects!$B$5:$B$204,MATCH($B166,Projects!$A$5:$A$204,0)),"Unknown project ID"))</f>
        <v/>
      </c>
      <c r="D166" s="25"/>
      <c r="E166" s="25"/>
      <c r="F166" s="25"/>
      <c r="G166" s="25"/>
      <c r="H166" s="25"/>
      <c r="I166" s="26"/>
      <c r="J166" s="26"/>
      <c r="K166" s="26"/>
      <c r="L166" s="30" t="str">
        <f aca="true">IF(OR($J166="",$H166="Done",$H166="Cancelled"),"",$J166-TODAY())</f>
        <v/>
      </c>
      <c r="M166" s="29" t="str">
        <f aca="true">IF(AND($J166&lt;&gt;"",$H166&lt;&gt;"Done",$H166&lt;&gt;"Cancelled",$J166&lt;TODAY()),"OVERDUE","")</f>
        <v/>
      </c>
      <c r="N166" s="25"/>
      <c r="O166" s="26"/>
      <c r="P166" s="25"/>
    </row>
    <row r="167" customFormat="false" ht="15" hidden="false" customHeight="false" outlineLevel="0" collapsed="false">
      <c r="A167" s="25"/>
      <c r="B167" s="25"/>
      <c r="C167" s="29" t="str">
        <f aca="false">IF($B167="","",IFERROR(INDEX(Projects!$B$5:$B$204,MATCH($B167,Projects!$A$5:$A$204,0)),"Unknown project ID"))</f>
        <v/>
      </c>
      <c r="D167" s="25"/>
      <c r="E167" s="25"/>
      <c r="F167" s="25"/>
      <c r="G167" s="25"/>
      <c r="H167" s="25"/>
      <c r="I167" s="26"/>
      <c r="J167" s="26"/>
      <c r="K167" s="26"/>
      <c r="L167" s="30" t="str">
        <f aca="true">IF(OR($J167="",$H167="Done",$H167="Cancelled"),"",$J167-TODAY())</f>
        <v/>
      </c>
      <c r="M167" s="29" t="str">
        <f aca="true">IF(AND($J167&lt;&gt;"",$H167&lt;&gt;"Done",$H167&lt;&gt;"Cancelled",$J167&lt;TODAY()),"OVERDUE","")</f>
        <v/>
      </c>
      <c r="N167" s="25"/>
      <c r="O167" s="26"/>
      <c r="P167" s="25"/>
    </row>
    <row r="168" customFormat="false" ht="15" hidden="false" customHeight="false" outlineLevel="0" collapsed="false">
      <c r="A168" s="25"/>
      <c r="B168" s="25"/>
      <c r="C168" s="29" t="str">
        <f aca="false">IF($B168="","",IFERROR(INDEX(Projects!$B$5:$B$204,MATCH($B168,Projects!$A$5:$A$204,0)),"Unknown project ID"))</f>
        <v/>
      </c>
      <c r="D168" s="25"/>
      <c r="E168" s="25"/>
      <c r="F168" s="25"/>
      <c r="G168" s="25"/>
      <c r="H168" s="25"/>
      <c r="I168" s="26"/>
      <c r="J168" s="26"/>
      <c r="K168" s="26"/>
      <c r="L168" s="30" t="str">
        <f aca="true">IF(OR($J168="",$H168="Done",$H168="Cancelled"),"",$J168-TODAY())</f>
        <v/>
      </c>
      <c r="M168" s="29" t="str">
        <f aca="true">IF(AND($J168&lt;&gt;"",$H168&lt;&gt;"Done",$H168&lt;&gt;"Cancelled",$J168&lt;TODAY()),"OVERDUE","")</f>
        <v/>
      </c>
      <c r="N168" s="25"/>
      <c r="O168" s="26"/>
      <c r="P168" s="25"/>
    </row>
    <row r="169" customFormat="false" ht="15" hidden="false" customHeight="false" outlineLevel="0" collapsed="false">
      <c r="A169" s="25"/>
      <c r="B169" s="25"/>
      <c r="C169" s="29" t="str">
        <f aca="false">IF($B169="","",IFERROR(INDEX(Projects!$B$5:$B$204,MATCH($B169,Projects!$A$5:$A$204,0)),"Unknown project ID"))</f>
        <v/>
      </c>
      <c r="D169" s="25"/>
      <c r="E169" s="25"/>
      <c r="F169" s="25"/>
      <c r="G169" s="25"/>
      <c r="H169" s="25"/>
      <c r="I169" s="26"/>
      <c r="J169" s="26"/>
      <c r="K169" s="26"/>
      <c r="L169" s="30" t="str">
        <f aca="true">IF(OR($J169="",$H169="Done",$H169="Cancelled"),"",$J169-TODAY())</f>
        <v/>
      </c>
      <c r="M169" s="29" t="str">
        <f aca="true">IF(AND($J169&lt;&gt;"",$H169&lt;&gt;"Done",$H169&lt;&gt;"Cancelled",$J169&lt;TODAY()),"OVERDUE","")</f>
        <v/>
      </c>
      <c r="N169" s="25"/>
      <c r="O169" s="26"/>
      <c r="P169" s="25"/>
    </row>
    <row r="170" customFormat="false" ht="15" hidden="false" customHeight="false" outlineLevel="0" collapsed="false">
      <c r="A170" s="25"/>
      <c r="B170" s="25"/>
      <c r="C170" s="29" t="str">
        <f aca="false">IF($B170="","",IFERROR(INDEX(Projects!$B$5:$B$204,MATCH($B170,Projects!$A$5:$A$204,0)),"Unknown project ID"))</f>
        <v/>
      </c>
      <c r="D170" s="25"/>
      <c r="E170" s="25"/>
      <c r="F170" s="25"/>
      <c r="G170" s="25"/>
      <c r="H170" s="25"/>
      <c r="I170" s="26"/>
      <c r="J170" s="26"/>
      <c r="K170" s="26"/>
      <c r="L170" s="30" t="str">
        <f aca="true">IF(OR($J170="",$H170="Done",$H170="Cancelled"),"",$J170-TODAY())</f>
        <v/>
      </c>
      <c r="M170" s="29" t="str">
        <f aca="true">IF(AND($J170&lt;&gt;"",$H170&lt;&gt;"Done",$H170&lt;&gt;"Cancelled",$J170&lt;TODAY()),"OVERDUE","")</f>
        <v/>
      </c>
      <c r="N170" s="25"/>
      <c r="O170" s="26"/>
      <c r="P170" s="25"/>
    </row>
    <row r="171" customFormat="false" ht="15" hidden="false" customHeight="false" outlineLevel="0" collapsed="false">
      <c r="A171" s="25"/>
      <c r="B171" s="25"/>
      <c r="C171" s="29" t="str">
        <f aca="false">IF($B171="","",IFERROR(INDEX(Projects!$B$5:$B$204,MATCH($B171,Projects!$A$5:$A$204,0)),"Unknown project ID"))</f>
        <v/>
      </c>
      <c r="D171" s="25"/>
      <c r="E171" s="25"/>
      <c r="F171" s="25"/>
      <c r="G171" s="25"/>
      <c r="H171" s="25"/>
      <c r="I171" s="26"/>
      <c r="J171" s="26"/>
      <c r="K171" s="26"/>
      <c r="L171" s="30" t="str">
        <f aca="true">IF(OR($J171="",$H171="Done",$H171="Cancelled"),"",$J171-TODAY())</f>
        <v/>
      </c>
      <c r="M171" s="29" t="str">
        <f aca="true">IF(AND($J171&lt;&gt;"",$H171&lt;&gt;"Done",$H171&lt;&gt;"Cancelled",$J171&lt;TODAY()),"OVERDUE","")</f>
        <v/>
      </c>
      <c r="N171" s="25"/>
      <c r="O171" s="26"/>
      <c r="P171" s="25"/>
    </row>
    <row r="172" customFormat="false" ht="15" hidden="false" customHeight="false" outlineLevel="0" collapsed="false">
      <c r="A172" s="25"/>
      <c r="B172" s="25"/>
      <c r="C172" s="29" t="str">
        <f aca="false">IF($B172="","",IFERROR(INDEX(Projects!$B$5:$B$204,MATCH($B172,Projects!$A$5:$A$204,0)),"Unknown project ID"))</f>
        <v/>
      </c>
      <c r="D172" s="25"/>
      <c r="E172" s="25"/>
      <c r="F172" s="25"/>
      <c r="G172" s="25"/>
      <c r="H172" s="25"/>
      <c r="I172" s="26"/>
      <c r="J172" s="26"/>
      <c r="K172" s="26"/>
      <c r="L172" s="30" t="str">
        <f aca="true">IF(OR($J172="",$H172="Done",$H172="Cancelled"),"",$J172-TODAY())</f>
        <v/>
      </c>
      <c r="M172" s="29" t="str">
        <f aca="true">IF(AND($J172&lt;&gt;"",$H172&lt;&gt;"Done",$H172&lt;&gt;"Cancelled",$J172&lt;TODAY()),"OVERDUE","")</f>
        <v/>
      </c>
      <c r="N172" s="25"/>
      <c r="O172" s="26"/>
      <c r="P172" s="25"/>
    </row>
    <row r="173" customFormat="false" ht="15" hidden="false" customHeight="false" outlineLevel="0" collapsed="false">
      <c r="A173" s="25"/>
      <c r="B173" s="25"/>
      <c r="C173" s="29" t="str">
        <f aca="false">IF($B173="","",IFERROR(INDEX(Projects!$B$5:$B$204,MATCH($B173,Projects!$A$5:$A$204,0)),"Unknown project ID"))</f>
        <v/>
      </c>
      <c r="D173" s="25"/>
      <c r="E173" s="25"/>
      <c r="F173" s="25"/>
      <c r="G173" s="25"/>
      <c r="H173" s="25"/>
      <c r="I173" s="26"/>
      <c r="J173" s="26"/>
      <c r="K173" s="26"/>
      <c r="L173" s="30" t="str">
        <f aca="true">IF(OR($J173="",$H173="Done",$H173="Cancelled"),"",$J173-TODAY())</f>
        <v/>
      </c>
      <c r="M173" s="29" t="str">
        <f aca="true">IF(AND($J173&lt;&gt;"",$H173&lt;&gt;"Done",$H173&lt;&gt;"Cancelled",$J173&lt;TODAY()),"OVERDUE","")</f>
        <v/>
      </c>
      <c r="N173" s="25"/>
      <c r="O173" s="26"/>
      <c r="P173" s="25"/>
    </row>
    <row r="174" customFormat="false" ht="15" hidden="false" customHeight="false" outlineLevel="0" collapsed="false">
      <c r="A174" s="25"/>
      <c r="B174" s="25"/>
      <c r="C174" s="29" t="str">
        <f aca="false">IF($B174="","",IFERROR(INDEX(Projects!$B$5:$B$204,MATCH($B174,Projects!$A$5:$A$204,0)),"Unknown project ID"))</f>
        <v/>
      </c>
      <c r="D174" s="25"/>
      <c r="E174" s="25"/>
      <c r="F174" s="25"/>
      <c r="G174" s="25"/>
      <c r="H174" s="25"/>
      <c r="I174" s="26"/>
      <c r="J174" s="26"/>
      <c r="K174" s="26"/>
      <c r="L174" s="30" t="str">
        <f aca="true">IF(OR($J174="",$H174="Done",$H174="Cancelled"),"",$J174-TODAY())</f>
        <v/>
      </c>
      <c r="M174" s="29" t="str">
        <f aca="true">IF(AND($J174&lt;&gt;"",$H174&lt;&gt;"Done",$H174&lt;&gt;"Cancelled",$J174&lt;TODAY()),"OVERDUE","")</f>
        <v/>
      </c>
      <c r="N174" s="25"/>
      <c r="O174" s="26"/>
      <c r="P174" s="25"/>
    </row>
    <row r="175" customFormat="false" ht="15" hidden="false" customHeight="false" outlineLevel="0" collapsed="false">
      <c r="A175" s="25"/>
      <c r="B175" s="25"/>
      <c r="C175" s="29" t="str">
        <f aca="false">IF($B175="","",IFERROR(INDEX(Projects!$B$5:$B$204,MATCH($B175,Projects!$A$5:$A$204,0)),"Unknown project ID"))</f>
        <v/>
      </c>
      <c r="D175" s="25"/>
      <c r="E175" s="25"/>
      <c r="F175" s="25"/>
      <c r="G175" s="25"/>
      <c r="H175" s="25"/>
      <c r="I175" s="26"/>
      <c r="J175" s="26"/>
      <c r="K175" s="26"/>
      <c r="L175" s="30" t="str">
        <f aca="true">IF(OR($J175="",$H175="Done",$H175="Cancelled"),"",$J175-TODAY())</f>
        <v/>
      </c>
      <c r="M175" s="29" t="str">
        <f aca="true">IF(AND($J175&lt;&gt;"",$H175&lt;&gt;"Done",$H175&lt;&gt;"Cancelled",$J175&lt;TODAY()),"OVERDUE","")</f>
        <v/>
      </c>
      <c r="N175" s="25"/>
      <c r="O175" s="26"/>
      <c r="P175" s="25"/>
    </row>
    <row r="176" customFormat="false" ht="15" hidden="false" customHeight="false" outlineLevel="0" collapsed="false">
      <c r="A176" s="25"/>
      <c r="B176" s="25"/>
      <c r="C176" s="29" t="str">
        <f aca="false">IF($B176="","",IFERROR(INDEX(Projects!$B$5:$B$204,MATCH($B176,Projects!$A$5:$A$204,0)),"Unknown project ID"))</f>
        <v/>
      </c>
      <c r="D176" s="25"/>
      <c r="E176" s="25"/>
      <c r="F176" s="25"/>
      <c r="G176" s="25"/>
      <c r="H176" s="25"/>
      <c r="I176" s="26"/>
      <c r="J176" s="26"/>
      <c r="K176" s="26"/>
      <c r="L176" s="30" t="str">
        <f aca="true">IF(OR($J176="",$H176="Done",$H176="Cancelled"),"",$J176-TODAY())</f>
        <v/>
      </c>
      <c r="M176" s="29" t="str">
        <f aca="true">IF(AND($J176&lt;&gt;"",$H176&lt;&gt;"Done",$H176&lt;&gt;"Cancelled",$J176&lt;TODAY()),"OVERDUE","")</f>
        <v/>
      </c>
      <c r="N176" s="25"/>
      <c r="O176" s="26"/>
      <c r="P176" s="25"/>
    </row>
    <row r="177" customFormat="false" ht="15" hidden="false" customHeight="false" outlineLevel="0" collapsed="false">
      <c r="A177" s="25"/>
      <c r="B177" s="25"/>
      <c r="C177" s="29" t="str">
        <f aca="false">IF($B177="","",IFERROR(INDEX(Projects!$B$5:$B$204,MATCH($B177,Projects!$A$5:$A$204,0)),"Unknown project ID"))</f>
        <v/>
      </c>
      <c r="D177" s="25"/>
      <c r="E177" s="25"/>
      <c r="F177" s="25"/>
      <c r="G177" s="25"/>
      <c r="H177" s="25"/>
      <c r="I177" s="26"/>
      <c r="J177" s="26"/>
      <c r="K177" s="26"/>
      <c r="L177" s="30" t="str">
        <f aca="true">IF(OR($J177="",$H177="Done",$H177="Cancelled"),"",$J177-TODAY())</f>
        <v/>
      </c>
      <c r="M177" s="29" t="str">
        <f aca="true">IF(AND($J177&lt;&gt;"",$H177&lt;&gt;"Done",$H177&lt;&gt;"Cancelled",$J177&lt;TODAY()),"OVERDUE","")</f>
        <v/>
      </c>
      <c r="N177" s="25"/>
      <c r="O177" s="26"/>
      <c r="P177" s="25"/>
    </row>
    <row r="178" customFormat="false" ht="15" hidden="false" customHeight="false" outlineLevel="0" collapsed="false">
      <c r="A178" s="25"/>
      <c r="B178" s="25"/>
      <c r="C178" s="29" t="str">
        <f aca="false">IF($B178="","",IFERROR(INDEX(Projects!$B$5:$B$204,MATCH($B178,Projects!$A$5:$A$204,0)),"Unknown project ID"))</f>
        <v/>
      </c>
      <c r="D178" s="25"/>
      <c r="E178" s="25"/>
      <c r="F178" s="25"/>
      <c r="G178" s="25"/>
      <c r="H178" s="25"/>
      <c r="I178" s="26"/>
      <c r="J178" s="26"/>
      <c r="K178" s="26"/>
      <c r="L178" s="30" t="str">
        <f aca="true">IF(OR($J178="",$H178="Done",$H178="Cancelled"),"",$J178-TODAY())</f>
        <v/>
      </c>
      <c r="M178" s="29" t="str">
        <f aca="true">IF(AND($J178&lt;&gt;"",$H178&lt;&gt;"Done",$H178&lt;&gt;"Cancelled",$J178&lt;TODAY()),"OVERDUE","")</f>
        <v/>
      </c>
      <c r="N178" s="25"/>
      <c r="O178" s="26"/>
      <c r="P178" s="25"/>
    </row>
    <row r="179" customFormat="false" ht="15" hidden="false" customHeight="false" outlineLevel="0" collapsed="false">
      <c r="A179" s="25"/>
      <c r="B179" s="25"/>
      <c r="C179" s="29" t="str">
        <f aca="false">IF($B179="","",IFERROR(INDEX(Projects!$B$5:$B$204,MATCH($B179,Projects!$A$5:$A$204,0)),"Unknown project ID"))</f>
        <v/>
      </c>
      <c r="D179" s="25"/>
      <c r="E179" s="25"/>
      <c r="F179" s="25"/>
      <c r="G179" s="25"/>
      <c r="H179" s="25"/>
      <c r="I179" s="26"/>
      <c r="J179" s="26"/>
      <c r="K179" s="26"/>
      <c r="L179" s="30" t="str">
        <f aca="true">IF(OR($J179="",$H179="Done",$H179="Cancelled"),"",$J179-TODAY())</f>
        <v/>
      </c>
      <c r="M179" s="29" t="str">
        <f aca="true">IF(AND($J179&lt;&gt;"",$H179&lt;&gt;"Done",$H179&lt;&gt;"Cancelled",$J179&lt;TODAY()),"OVERDUE","")</f>
        <v/>
      </c>
      <c r="N179" s="25"/>
      <c r="O179" s="26"/>
      <c r="P179" s="25"/>
    </row>
    <row r="180" customFormat="false" ht="15" hidden="false" customHeight="false" outlineLevel="0" collapsed="false">
      <c r="A180" s="25"/>
      <c r="B180" s="25"/>
      <c r="C180" s="29" t="str">
        <f aca="false">IF($B180="","",IFERROR(INDEX(Projects!$B$5:$B$204,MATCH($B180,Projects!$A$5:$A$204,0)),"Unknown project ID"))</f>
        <v/>
      </c>
      <c r="D180" s="25"/>
      <c r="E180" s="25"/>
      <c r="F180" s="25"/>
      <c r="G180" s="25"/>
      <c r="H180" s="25"/>
      <c r="I180" s="26"/>
      <c r="J180" s="26"/>
      <c r="K180" s="26"/>
      <c r="L180" s="30" t="str">
        <f aca="true">IF(OR($J180="",$H180="Done",$H180="Cancelled"),"",$J180-TODAY())</f>
        <v/>
      </c>
      <c r="M180" s="29" t="str">
        <f aca="true">IF(AND($J180&lt;&gt;"",$H180&lt;&gt;"Done",$H180&lt;&gt;"Cancelled",$J180&lt;TODAY()),"OVERDUE","")</f>
        <v/>
      </c>
      <c r="N180" s="25"/>
      <c r="O180" s="26"/>
      <c r="P180" s="25"/>
    </row>
    <row r="181" customFormat="false" ht="15" hidden="false" customHeight="false" outlineLevel="0" collapsed="false">
      <c r="A181" s="25"/>
      <c r="B181" s="25"/>
      <c r="C181" s="29" t="str">
        <f aca="false">IF($B181="","",IFERROR(INDEX(Projects!$B$5:$B$204,MATCH($B181,Projects!$A$5:$A$204,0)),"Unknown project ID"))</f>
        <v/>
      </c>
      <c r="D181" s="25"/>
      <c r="E181" s="25"/>
      <c r="F181" s="25"/>
      <c r="G181" s="25"/>
      <c r="H181" s="25"/>
      <c r="I181" s="26"/>
      <c r="J181" s="26"/>
      <c r="K181" s="26"/>
      <c r="L181" s="30" t="str">
        <f aca="true">IF(OR($J181="",$H181="Done",$H181="Cancelled"),"",$J181-TODAY())</f>
        <v/>
      </c>
      <c r="M181" s="29" t="str">
        <f aca="true">IF(AND($J181&lt;&gt;"",$H181&lt;&gt;"Done",$H181&lt;&gt;"Cancelled",$J181&lt;TODAY()),"OVERDUE","")</f>
        <v/>
      </c>
      <c r="N181" s="25"/>
      <c r="O181" s="26"/>
      <c r="P181" s="25"/>
    </row>
    <row r="182" customFormat="false" ht="15" hidden="false" customHeight="false" outlineLevel="0" collapsed="false">
      <c r="A182" s="25"/>
      <c r="B182" s="25"/>
      <c r="C182" s="29" t="str">
        <f aca="false">IF($B182="","",IFERROR(INDEX(Projects!$B$5:$B$204,MATCH($B182,Projects!$A$5:$A$204,0)),"Unknown project ID"))</f>
        <v/>
      </c>
      <c r="D182" s="25"/>
      <c r="E182" s="25"/>
      <c r="F182" s="25"/>
      <c r="G182" s="25"/>
      <c r="H182" s="25"/>
      <c r="I182" s="26"/>
      <c r="J182" s="26"/>
      <c r="K182" s="26"/>
      <c r="L182" s="30" t="str">
        <f aca="true">IF(OR($J182="",$H182="Done",$H182="Cancelled"),"",$J182-TODAY())</f>
        <v/>
      </c>
      <c r="M182" s="29" t="str">
        <f aca="true">IF(AND($J182&lt;&gt;"",$H182&lt;&gt;"Done",$H182&lt;&gt;"Cancelled",$J182&lt;TODAY()),"OVERDUE","")</f>
        <v/>
      </c>
      <c r="N182" s="25"/>
      <c r="O182" s="26"/>
      <c r="P182" s="25"/>
    </row>
    <row r="183" customFormat="false" ht="15" hidden="false" customHeight="false" outlineLevel="0" collapsed="false">
      <c r="A183" s="25"/>
      <c r="B183" s="25"/>
      <c r="C183" s="29" t="str">
        <f aca="false">IF($B183="","",IFERROR(INDEX(Projects!$B$5:$B$204,MATCH($B183,Projects!$A$5:$A$204,0)),"Unknown project ID"))</f>
        <v/>
      </c>
      <c r="D183" s="25"/>
      <c r="E183" s="25"/>
      <c r="F183" s="25"/>
      <c r="G183" s="25"/>
      <c r="H183" s="25"/>
      <c r="I183" s="26"/>
      <c r="J183" s="26"/>
      <c r="K183" s="26"/>
      <c r="L183" s="30" t="str">
        <f aca="true">IF(OR($J183="",$H183="Done",$H183="Cancelled"),"",$J183-TODAY())</f>
        <v/>
      </c>
      <c r="M183" s="29" t="str">
        <f aca="true">IF(AND($J183&lt;&gt;"",$H183&lt;&gt;"Done",$H183&lt;&gt;"Cancelled",$J183&lt;TODAY()),"OVERDUE","")</f>
        <v/>
      </c>
      <c r="N183" s="25"/>
      <c r="O183" s="26"/>
      <c r="P183" s="25"/>
    </row>
    <row r="184" customFormat="false" ht="15" hidden="false" customHeight="false" outlineLevel="0" collapsed="false">
      <c r="A184" s="25"/>
      <c r="B184" s="25"/>
      <c r="C184" s="29" t="str">
        <f aca="false">IF($B184="","",IFERROR(INDEX(Projects!$B$5:$B$204,MATCH($B184,Projects!$A$5:$A$204,0)),"Unknown project ID"))</f>
        <v/>
      </c>
      <c r="D184" s="25"/>
      <c r="E184" s="25"/>
      <c r="F184" s="25"/>
      <c r="G184" s="25"/>
      <c r="H184" s="25"/>
      <c r="I184" s="26"/>
      <c r="J184" s="26"/>
      <c r="K184" s="26"/>
      <c r="L184" s="30" t="str">
        <f aca="true">IF(OR($J184="",$H184="Done",$H184="Cancelled"),"",$J184-TODAY())</f>
        <v/>
      </c>
      <c r="M184" s="29" t="str">
        <f aca="true">IF(AND($J184&lt;&gt;"",$H184&lt;&gt;"Done",$H184&lt;&gt;"Cancelled",$J184&lt;TODAY()),"OVERDUE","")</f>
        <v/>
      </c>
      <c r="N184" s="25"/>
      <c r="O184" s="26"/>
      <c r="P184" s="25"/>
    </row>
    <row r="185" customFormat="false" ht="15" hidden="false" customHeight="false" outlineLevel="0" collapsed="false">
      <c r="A185" s="25"/>
      <c r="B185" s="25"/>
      <c r="C185" s="29" t="str">
        <f aca="false">IF($B185="","",IFERROR(INDEX(Projects!$B$5:$B$204,MATCH($B185,Projects!$A$5:$A$204,0)),"Unknown project ID"))</f>
        <v/>
      </c>
      <c r="D185" s="25"/>
      <c r="E185" s="25"/>
      <c r="F185" s="25"/>
      <c r="G185" s="25"/>
      <c r="H185" s="25"/>
      <c r="I185" s="26"/>
      <c r="J185" s="26"/>
      <c r="K185" s="26"/>
      <c r="L185" s="30" t="str">
        <f aca="true">IF(OR($J185="",$H185="Done",$H185="Cancelled"),"",$J185-TODAY())</f>
        <v/>
      </c>
      <c r="M185" s="29" t="str">
        <f aca="true">IF(AND($J185&lt;&gt;"",$H185&lt;&gt;"Done",$H185&lt;&gt;"Cancelled",$J185&lt;TODAY()),"OVERDUE","")</f>
        <v/>
      </c>
      <c r="N185" s="25"/>
      <c r="O185" s="26"/>
      <c r="P185" s="25"/>
    </row>
    <row r="186" customFormat="false" ht="15" hidden="false" customHeight="false" outlineLevel="0" collapsed="false">
      <c r="A186" s="25"/>
      <c r="B186" s="25"/>
      <c r="C186" s="29" t="str">
        <f aca="false">IF($B186="","",IFERROR(INDEX(Projects!$B$5:$B$204,MATCH($B186,Projects!$A$5:$A$204,0)),"Unknown project ID"))</f>
        <v/>
      </c>
      <c r="D186" s="25"/>
      <c r="E186" s="25"/>
      <c r="F186" s="25"/>
      <c r="G186" s="25"/>
      <c r="H186" s="25"/>
      <c r="I186" s="26"/>
      <c r="J186" s="26"/>
      <c r="K186" s="26"/>
      <c r="L186" s="30" t="str">
        <f aca="true">IF(OR($J186="",$H186="Done",$H186="Cancelled"),"",$J186-TODAY())</f>
        <v/>
      </c>
      <c r="M186" s="29" t="str">
        <f aca="true">IF(AND($J186&lt;&gt;"",$H186&lt;&gt;"Done",$H186&lt;&gt;"Cancelled",$J186&lt;TODAY()),"OVERDUE","")</f>
        <v/>
      </c>
      <c r="N186" s="25"/>
      <c r="O186" s="26"/>
      <c r="P186" s="25"/>
    </row>
    <row r="187" customFormat="false" ht="15" hidden="false" customHeight="false" outlineLevel="0" collapsed="false">
      <c r="A187" s="25"/>
      <c r="B187" s="25"/>
      <c r="C187" s="29" t="str">
        <f aca="false">IF($B187="","",IFERROR(INDEX(Projects!$B$5:$B$204,MATCH($B187,Projects!$A$5:$A$204,0)),"Unknown project ID"))</f>
        <v/>
      </c>
      <c r="D187" s="25"/>
      <c r="E187" s="25"/>
      <c r="F187" s="25"/>
      <c r="G187" s="25"/>
      <c r="H187" s="25"/>
      <c r="I187" s="26"/>
      <c r="J187" s="26"/>
      <c r="K187" s="26"/>
      <c r="L187" s="30" t="str">
        <f aca="true">IF(OR($J187="",$H187="Done",$H187="Cancelled"),"",$J187-TODAY())</f>
        <v/>
      </c>
      <c r="M187" s="29" t="str">
        <f aca="true">IF(AND($J187&lt;&gt;"",$H187&lt;&gt;"Done",$H187&lt;&gt;"Cancelled",$J187&lt;TODAY()),"OVERDUE","")</f>
        <v/>
      </c>
      <c r="N187" s="25"/>
      <c r="O187" s="26"/>
      <c r="P187" s="25"/>
    </row>
    <row r="188" customFormat="false" ht="15" hidden="false" customHeight="false" outlineLevel="0" collapsed="false">
      <c r="A188" s="25"/>
      <c r="B188" s="25"/>
      <c r="C188" s="29" t="str">
        <f aca="false">IF($B188="","",IFERROR(INDEX(Projects!$B$5:$B$204,MATCH($B188,Projects!$A$5:$A$204,0)),"Unknown project ID"))</f>
        <v/>
      </c>
      <c r="D188" s="25"/>
      <c r="E188" s="25"/>
      <c r="F188" s="25"/>
      <c r="G188" s="25"/>
      <c r="H188" s="25"/>
      <c r="I188" s="26"/>
      <c r="J188" s="26"/>
      <c r="K188" s="26"/>
      <c r="L188" s="30" t="str">
        <f aca="true">IF(OR($J188="",$H188="Done",$H188="Cancelled"),"",$J188-TODAY())</f>
        <v/>
      </c>
      <c r="M188" s="29" t="str">
        <f aca="true">IF(AND($J188&lt;&gt;"",$H188&lt;&gt;"Done",$H188&lt;&gt;"Cancelled",$J188&lt;TODAY()),"OVERDUE","")</f>
        <v/>
      </c>
      <c r="N188" s="25"/>
      <c r="O188" s="26"/>
      <c r="P188" s="25"/>
    </row>
    <row r="189" customFormat="false" ht="15" hidden="false" customHeight="false" outlineLevel="0" collapsed="false">
      <c r="A189" s="25"/>
      <c r="B189" s="25"/>
      <c r="C189" s="29" t="str">
        <f aca="false">IF($B189="","",IFERROR(INDEX(Projects!$B$5:$B$204,MATCH($B189,Projects!$A$5:$A$204,0)),"Unknown project ID"))</f>
        <v/>
      </c>
      <c r="D189" s="25"/>
      <c r="E189" s="25"/>
      <c r="F189" s="25"/>
      <c r="G189" s="25"/>
      <c r="H189" s="25"/>
      <c r="I189" s="26"/>
      <c r="J189" s="26"/>
      <c r="K189" s="26"/>
      <c r="L189" s="30" t="str">
        <f aca="true">IF(OR($J189="",$H189="Done",$H189="Cancelled"),"",$J189-TODAY())</f>
        <v/>
      </c>
      <c r="M189" s="29" t="str">
        <f aca="true">IF(AND($J189&lt;&gt;"",$H189&lt;&gt;"Done",$H189&lt;&gt;"Cancelled",$J189&lt;TODAY()),"OVERDUE","")</f>
        <v/>
      </c>
      <c r="N189" s="25"/>
      <c r="O189" s="26"/>
      <c r="P189" s="25"/>
    </row>
    <row r="190" customFormat="false" ht="15" hidden="false" customHeight="false" outlineLevel="0" collapsed="false">
      <c r="A190" s="25"/>
      <c r="B190" s="25"/>
      <c r="C190" s="29" t="str">
        <f aca="false">IF($B190="","",IFERROR(INDEX(Projects!$B$5:$B$204,MATCH($B190,Projects!$A$5:$A$204,0)),"Unknown project ID"))</f>
        <v/>
      </c>
      <c r="D190" s="25"/>
      <c r="E190" s="25"/>
      <c r="F190" s="25"/>
      <c r="G190" s="25"/>
      <c r="H190" s="25"/>
      <c r="I190" s="26"/>
      <c r="J190" s="26"/>
      <c r="K190" s="26"/>
      <c r="L190" s="30" t="str">
        <f aca="true">IF(OR($J190="",$H190="Done",$H190="Cancelled"),"",$J190-TODAY())</f>
        <v/>
      </c>
      <c r="M190" s="29" t="str">
        <f aca="true">IF(AND($J190&lt;&gt;"",$H190&lt;&gt;"Done",$H190&lt;&gt;"Cancelled",$J190&lt;TODAY()),"OVERDUE","")</f>
        <v/>
      </c>
      <c r="N190" s="25"/>
      <c r="O190" s="26"/>
      <c r="P190" s="25"/>
    </row>
    <row r="191" customFormat="false" ht="15" hidden="false" customHeight="false" outlineLevel="0" collapsed="false">
      <c r="A191" s="25"/>
      <c r="B191" s="25"/>
      <c r="C191" s="29" t="str">
        <f aca="false">IF($B191="","",IFERROR(INDEX(Projects!$B$5:$B$204,MATCH($B191,Projects!$A$5:$A$204,0)),"Unknown project ID"))</f>
        <v/>
      </c>
      <c r="D191" s="25"/>
      <c r="E191" s="25"/>
      <c r="F191" s="25"/>
      <c r="G191" s="25"/>
      <c r="H191" s="25"/>
      <c r="I191" s="26"/>
      <c r="J191" s="26"/>
      <c r="K191" s="26"/>
      <c r="L191" s="30" t="str">
        <f aca="true">IF(OR($J191="",$H191="Done",$H191="Cancelled"),"",$J191-TODAY())</f>
        <v/>
      </c>
      <c r="M191" s="29" t="str">
        <f aca="true">IF(AND($J191&lt;&gt;"",$H191&lt;&gt;"Done",$H191&lt;&gt;"Cancelled",$J191&lt;TODAY()),"OVERDUE","")</f>
        <v/>
      </c>
      <c r="N191" s="25"/>
      <c r="O191" s="26"/>
      <c r="P191" s="25"/>
    </row>
    <row r="192" customFormat="false" ht="15" hidden="false" customHeight="false" outlineLevel="0" collapsed="false">
      <c r="A192" s="25"/>
      <c r="B192" s="25"/>
      <c r="C192" s="29" t="str">
        <f aca="false">IF($B192="","",IFERROR(INDEX(Projects!$B$5:$B$204,MATCH($B192,Projects!$A$5:$A$204,0)),"Unknown project ID"))</f>
        <v/>
      </c>
      <c r="D192" s="25"/>
      <c r="E192" s="25"/>
      <c r="F192" s="25"/>
      <c r="G192" s="25"/>
      <c r="H192" s="25"/>
      <c r="I192" s="26"/>
      <c r="J192" s="26"/>
      <c r="K192" s="26"/>
      <c r="L192" s="30" t="str">
        <f aca="true">IF(OR($J192="",$H192="Done",$H192="Cancelled"),"",$J192-TODAY())</f>
        <v/>
      </c>
      <c r="M192" s="29" t="str">
        <f aca="true">IF(AND($J192&lt;&gt;"",$H192&lt;&gt;"Done",$H192&lt;&gt;"Cancelled",$J192&lt;TODAY()),"OVERDUE","")</f>
        <v/>
      </c>
      <c r="N192" s="25"/>
      <c r="O192" s="26"/>
      <c r="P192" s="25"/>
    </row>
    <row r="193" customFormat="false" ht="15" hidden="false" customHeight="false" outlineLevel="0" collapsed="false">
      <c r="A193" s="25"/>
      <c r="B193" s="25"/>
      <c r="C193" s="29" t="str">
        <f aca="false">IF($B193="","",IFERROR(INDEX(Projects!$B$5:$B$204,MATCH($B193,Projects!$A$5:$A$204,0)),"Unknown project ID"))</f>
        <v/>
      </c>
      <c r="D193" s="25"/>
      <c r="E193" s="25"/>
      <c r="F193" s="25"/>
      <c r="G193" s="25"/>
      <c r="H193" s="25"/>
      <c r="I193" s="26"/>
      <c r="J193" s="26"/>
      <c r="K193" s="26"/>
      <c r="L193" s="30" t="str">
        <f aca="true">IF(OR($J193="",$H193="Done",$H193="Cancelled"),"",$J193-TODAY())</f>
        <v/>
      </c>
      <c r="M193" s="29" t="str">
        <f aca="true">IF(AND($J193&lt;&gt;"",$H193&lt;&gt;"Done",$H193&lt;&gt;"Cancelled",$J193&lt;TODAY()),"OVERDUE","")</f>
        <v/>
      </c>
      <c r="N193" s="25"/>
      <c r="O193" s="26"/>
      <c r="P193" s="25"/>
    </row>
    <row r="194" customFormat="false" ht="15" hidden="false" customHeight="false" outlineLevel="0" collapsed="false">
      <c r="A194" s="25"/>
      <c r="B194" s="25"/>
      <c r="C194" s="29" t="str">
        <f aca="false">IF($B194="","",IFERROR(INDEX(Projects!$B$5:$B$204,MATCH($B194,Projects!$A$5:$A$204,0)),"Unknown project ID"))</f>
        <v/>
      </c>
      <c r="D194" s="25"/>
      <c r="E194" s="25"/>
      <c r="F194" s="25"/>
      <c r="G194" s="25"/>
      <c r="H194" s="25"/>
      <c r="I194" s="26"/>
      <c r="J194" s="26"/>
      <c r="K194" s="26"/>
      <c r="L194" s="30" t="str">
        <f aca="true">IF(OR($J194="",$H194="Done",$H194="Cancelled"),"",$J194-TODAY())</f>
        <v/>
      </c>
      <c r="M194" s="29" t="str">
        <f aca="true">IF(AND($J194&lt;&gt;"",$H194&lt;&gt;"Done",$H194&lt;&gt;"Cancelled",$J194&lt;TODAY()),"OVERDUE","")</f>
        <v/>
      </c>
      <c r="N194" s="25"/>
      <c r="O194" s="26"/>
      <c r="P194" s="25"/>
    </row>
    <row r="195" customFormat="false" ht="15" hidden="false" customHeight="false" outlineLevel="0" collapsed="false">
      <c r="A195" s="25"/>
      <c r="B195" s="25"/>
      <c r="C195" s="29" t="str">
        <f aca="false">IF($B195="","",IFERROR(INDEX(Projects!$B$5:$B$204,MATCH($B195,Projects!$A$5:$A$204,0)),"Unknown project ID"))</f>
        <v/>
      </c>
      <c r="D195" s="25"/>
      <c r="E195" s="25"/>
      <c r="F195" s="25"/>
      <c r="G195" s="25"/>
      <c r="H195" s="25"/>
      <c r="I195" s="26"/>
      <c r="J195" s="26"/>
      <c r="K195" s="26"/>
      <c r="L195" s="30" t="str">
        <f aca="true">IF(OR($J195="",$H195="Done",$H195="Cancelled"),"",$J195-TODAY())</f>
        <v/>
      </c>
      <c r="M195" s="29" t="str">
        <f aca="true">IF(AND($J195&lt;&gt;"",$H195&lt;&gt;"Done",$H195&lt;&gt;"Cancelled",$J195&lt;TODAY()),"OVERDUE","")</f>
        <v/>
      </c>
      <c r="N195" s="25"/>
      <c r="O195" s="26"/>
      <c r="P195" s="25"/>
    </row>
    <row r="196" customFormat="false" ht="15" hidden="false" customHeight="false" outlineLevel="0" collapsed="false">
      <c r="A196" s="25"/>
      <c r="B196" s="25"/>
      <c r="C196" s="29" t="str">
        <f aca="false">IF($B196="","",IFERROR(INDEX(Projects!$B$5:$B$204,MATCH($B196,Projects!$A$5:$A$204,0)),"Unknown project ID"))</f>
        <v/>
      </c>
      <c r="D196" s="25"/>
      <c r="E196" s="25"/>
      <c r="F196" s="25"/>
      <c r="G196" s="25"/>
      <c r="H196" s="25"/>
      <c r="I196" s="26"/>
      <c r="J196" s="26"/>
      <c r="K196" s="26"/>
      <c r="L196" s="30" t="str">
        <f aca="true">IF(OR($J196="",$H196="Done",$H196="Cancelled"),"",$J196-TODAY())</f>
        <v/>
      </c>
      <c r="M196" s="29" t="str">
        <f aca="true">IF(AND($J196&lt;&gt;"",$H196&lt;&gt;"Done",$H196&lt;&gt;"Cancelled",$J196&lt;TODAY()),"OVERDUE","")</f>
        <v/>
      </c>
      <c r="N196" s="25"/>
      <c r="O196" s="26"/>
      <c r="P196" s="25"/>
    </row>
    <row r="197" customFormat="false" ht="15" hidden="false" customHeight="false" outlineLevel="0" collapsed="false">
      <c r="A197" s="25"/>
      <c r="B197" s="25"/>
      <c r="C197" s="29" t="str">
        <f aca="false">IF($B197="","",IFERROR(INDEX(Projects!$B$5:$B$204,MATCH($B197,Projects!$A$5:$A$204,0)),"Unknown project ID"))</f>
        <v/>
      </c>
      <c r="D197" s="25"/>
      <c r="E197" s="25"/>
      <c r="F197" s="25"/>
      <c r="G197" s="25"/>
      <c r="H197" s="25"/>
      <c r="I197" s="26"/>
      <c r="J197" s="26"/>
      <c r="K197" s="26"/>
      <c r="L197" s="30" t="str">
        <f aca="true">IF(OR($J197="",$H197="Done",$H197="Cancelled"),"",$J197-TODAY())</f>
        <v/>
      </c>
      <c r="M197" s="29" t="str">
        <f aca="true">IF(AND($J197&lt;&gt;"",$H197&lt;&gt;"Done",$H197&lt;&gt;"Cancelled",$J197&lt;TODAY()),"OVERDUE","")</f>
        <v/>
      </c>
      <c r="N197" s="25"/>
      <c r="O197" s="26"/>
      <c r="P197" s="25"/>
    </row>
    <row r="198" customFormat="false" ht="15" hidden="false" customHeight="false" outlineLevel="0" collapsed="false">
      <c r="A198" s="25"/>
      <c r="B198" s="25"/>
      <c r="C198" s="29" t="str">
        <f aca="false">IF($B198="","",IFERROR(INDEX(Projects!$B$5:$B$204,MATCH($B198,Projects!$A$5:$A$204,0)),"Unknown project ID"))</f>
        <v/>
      </c>
      <c r="D198" s="25"/>
      <c r="E198" s="25"/>
      <c r="F198" s="25"/>
      <c r="G198" s="25"/>
      <c r="H198" s="25"/>
      <c r="I198" s="26"/>
      <c r="J198" s="26"/>
      <c r="K198" s="26"/>
      <c r="L198" s="30" t="str">
        <f aca="true">IF(OR($J198="",$H198="Done",$H198="Cancelled"),"",$J198-TODAY())</f>
        <v/>
      </c>
      <c r="M198" s="29" t="str">
        <f aca="true">IF(AND($J198&lt;&gt;"",$H198&lt;&gt;"Done",$H198&lt;&gt;"Cancelled",$J198&lt;TODAY()),"OVERDUE","")</f>
        <v/>
      </c>
      <c r="N198" s="25"/>
      <c r="O198" s="26"/>
      <c r="P198" s="25"/>
    </row>
    <row r="199" customFormat="false" ht="15" hidden="false" customHeight="false" outlineLevel="0" collapsed="false">
      <c r="A199" s="25"/>
      <c r="B199" s="25"/>
      <c r="C199" s="29" t="str">
        <f aca="false">IF($B199="","",IFERROR(INDEX(Projects!$B$5:$B$204,MATCH($B199,Projects!$A$5:$A$204,0)),"Unknown project ID"))</f>
        <v/>
      </c>
      <c r="D199" s="25"/>
      <c r="E199" s="25"/>
      <c r="F199" s="25"/>
      <c r="G199" s="25"/>
      <c r="H199" s="25"/>
      <c r="I199" s="26"/>
      <c r="J199" s="26"/>
      <c r="K199" s="26"/>
      <c r="L199" s="30" t="str">
        <f aca="true">IF(OR($J199="",$H199="Done",$H199="Cancelled"),"",$J199-TODAY())</f>
        <v/>
      </c>
      <c r="M199" s="29" t="str">
        <f aca="true">IF(AND($J199&lt;&gt;"",$H199&lt;&gt;"Done",$H199&lt;&gt;"Cancelled",$J199&lt;TODAY()),"OVERDUE","")</f>
        <v/>
      </c>
      <c r="N199" s="25"/>
      <c r="O199" s="26"/>
      <c r="P199" s="25"/>
    </row>
    <row r="200" customFormat="false" ht="15" hidden="false" customHeight="false" outlineLevel="0" collapsed="false">
      <c r="A200" s="25"/>
      <c r="B200" s="25"/>
      <c r="C200" s="29" t="str">
        <f aca="false">IF($B200="","",IFERROR(INDEX(Projects!$B$5:$B$204,MATCH($B200,Projects!$A$5:$A$204,0)),"Unknown project ID"))</f>
        <v/>
      </c>
      <c r="D200" s="25"/>
      <c r="E200" s="25"/>
      <c r="F200" s="25"/>
      <c r="G200" s="25"/>
      <c r="H200" s="25"/>
      <c r="I200" s="26"/>
      <c r="J200" s="26"/>
      <c r="K200" s="26"/>
      <c r="L200" s="30" t="str">
        <f aca="true">IF(OR($J200="",$H200="Done",$H200="Cancelled"),"",$J200-TODAY())</f>
        <v/>
      </c>
      <c r="M200" s="29" t="str">
        <f aca="true">IF(AND($J200&lt;&gt;"",$H200&lt;&gt;"Done",$H200&lt;&gt;"Cancelled",$J200&lt;TODAY()),"OVERDUE","")</f>
        <v/>
      </c>
      <c r="N200" s="25"/>
      <c r="O200" s="26"/>
      <c r="P200" s="25"/>
    </row>
    <row r="201" customFormat="false" ht="15" hidden="false" customHeight="false" outlineLevel="0" collapsed="false">
      <c r="A201" s="25"/>
      <c r="B201" s="25"/>
      <c r="C201" s="29" t="str">
        <f aca="false">IF($B201="","",IFERROR(INDEX(Projects!$B$5:$B$204,MATCH($B201,Projects!$A$5:$A$204,0)),"Unknown project ID"))</f>
        <v/>
      </c>
      <c r="D201" s="25"/>
      <c r="E201" s="25"/>
      <c r="F201" s="25"/>
      <c r="G201" s="25"/>
      <c r="H201" s="25"/>
      <c r="I201" s="26"/>
      <c r="J201" s="26"/>
      <c r="K201" s="26"/>
      <c r="L201" s="30" t="str">
        <f aca="true">IF(OR($J201="",$H201="Done",$H201="Cancelled"),"",$J201-TODAY())</f>
        <v/>
      </c>
      <c r="M201" s="29" t="str">
        <f aca="true">IF(AND($J201&lt;&gt;"",$H201&lt;&gt;"Done",$H201&lt;&gt;"Cancelled",$J201&lt;TODAY()),"OVERDUE","")</f>
        <v/>
      </c>
      <c r="N201" s="25"/>
      <c r="O201" s="26"/>
      <c r="P201" s="25"/>
    </row>
    <row r="202" customFormat="false" ht="15" hidden="false" customHeight="false" outlineLevel="0" collapsed="false">
      <c r="A202" s="25"/>
      <c r="B202" s="25"/>
      <c r="C202" s="29" t="str">
        <f aca="false">IF($B202="","",IFERROR(INDEX(Projects!$B$5:$B$204,MATCH($B202,Projects!$A$5:$A$204,0)),"Unknown project ID"))</f>
        <v/>
      </c>
      <c r="D202" s="25"/>
      <c r="E202" s="25"/>
      <c r="F202" s="25"/>
      <c r="G202" s="25"/>
      <c r="H202" s="25"/>
      <c r="I202" s="26"/>
      <c r="J202" s="26"/>
      <c r="K202" s="26"/>
      <c r="L202" s="30" t="str">
        <f aca="true">IF(OR($J202="",$H202="Done",$H202="Cancelled"),"",$J202-TODAY())</f>
        <v/>
      </c>
      <c r="M202" s="29" t="str">
        <f aca="true">IF(AND($J202&lt;&gt;"",$H202&lt;&gt;"Done",$H202&lt;&gt;"Cancelled",$J202&lt;TODAY()),"OVERDUE","")</f>
        <v/>
      </c>
      <c r="N202" s="25"/>
      <c r="O202" s="26"/>
      <c r="P202" s="25"/>
    </row>
    <row r="203" customFormat="false" ht="15" hidden="false" customHeight="false" outlineLevel="0" collapsed="false">
      <c r="A203" s="25"/>
      <c r="B203" s="25"/>
      <c r="C203" s="29" t="str">
        <f aca="false">IF($B203="","",IFERROR(INDEX(Projects!$B$5:$B$204,MATCH($B203,Projects!$A$5:$A$204,0)),"Unknown project ID"))</f>
        <v/>
      </c>
      <c r="D203" s="25"/>
      <c r="E203" s="25"/>
      <c r="F203" s="25"/>
      <c r="G203" s="25"/>
      <c r="H203" s="25"/>
      <c r="I203" s="26"/>
      <c r="J203" s="26"/>
      <c r="K203" s="26"/>
      <c r="L203" s="30" t="str">
        <f aca="true">IF(OR($J203="",$H203="Done",$H203="Cancelled"),"",$J203-TODAY())</f>
        <v/>
      </c>
      <c r="M203" s="29" t="str">
        <f aca="true">IF(AND($J203&lt;&gt;"",$H203&lt;&gt;"Done",$H203&lt;&gt;"Cancelled",$J203&lt;TODAY()),"OVERDUE","")</f>
        <v/>
      </c>
      <c r="N203" s="25"/>
      <c r="O203" s="26"/>
      <c r="P203" s="25"/>
    </row>
    <row r="204" customFormat="false" ht="15" hidden="false" customHeight="false" outlineLevel="0" collapsed="false">
      <c r="A204" s="25"/>
      <c r="B204" s="25"/>
      <c r="C204" s="29" t="str">
        <f aca="false">IF($B204="","",IFERROR(INDEX(Projects!$B$5:$B$204,MATCH($B204,Projects!$A$5:$A$204,0)),"Unknown project ID"))</f>
        <v/>
      </c>
      <c r="D204" s="25"/>
      <c r="E204" s="25"/>
      <c r="F204" s="25"/>
      <c r="G204" s="25"/>
      <c r="H204" s="25"/>
      <c r="I204" s="26"/>
      <c r="J204" s="26"/>
      <c r="K204" s="26"/>
      <c r="L204" s="30" t="str">
        <f aca="true">IF(OR($J204="",$H204="Done",$H204="Cancelled"),"",$J204-TODAY())</f>
        <v/>
      </c>
      <c r="M204" s="29" t="str">
        <f aca="true">IF(AND($J204&lt;&gt;"",$H204&lt;&gt;"Done",$H204&lt;&gt;"Cancelled",$J204&lt;TODAY()),"OVERDUE","")</f>
        <v/>
      </c>
      <c r="N204" s="25"/>
      <c r="O204" s="26"/>
      <c r="P204" s="25"/>
    </row>
    <row r="205" customFormat="false" ht="15" hidden="false" customHeight="false" outlineLevel="0" collapsed="false">
      <c r="A205" s="25"/>
      <c r="B205" s="25"/>
      <c r="C205" s="29" t="str">
        <f aca="false">IF($B205="","",IFERROR(INDEX(Projects!$B$5:$B$204,MATCH($B205,Projects!$A$5:$A$204,0)),"Unknown project ID"))</f>
        <v/>
      </c>
      <c r="D205" s="25"/>
      <c r="E205" s="25"/>
      <c r="F205" s="25"/>
      <c r="G205" s="25"/>
      <c r="H205" s="25"/>
      <c r="I205" s="26"/>
      <c r="J205" s="26"/>
      <c r="K205" s="26"/>
      <c r="L205" s="30" t="str">
        <f aca="true">IF(OR($J205="",$H205="Done",$H205="Cancelled"),"",$J205-TODAY())</f>
        <v/>
      </c>
      <c r="M205" s="29" t="str">
        <f aca="true">IF(AND($J205&lt;&gt;"",$H205&lt;&gt;"Done",$H205&lt;&gt;"Cancelled",$J205&lt;TODAY()),"OVERDUE","")</f>
        <v/>
      </c>
      <c r="N205" s="25"/>
      <c r="O205" s="26"/>
      <c r="P205" s="25"/>
    </row>
    <row r="206" customFormat="false" ht="15" hidden="false" customHeight="false" outlineLevel="0" collapsed="false">
      <c r="A206" s="25"/>
      <c r="B206" s="25"/>
      <c r="C206" s="29" t="str">
        <f aca="false">IF($B206="","",IFERROR(INDEX(Projects!$B$5:$B$204,MATCH($B206,Projects!$A$5:$A$204,0)),"Unknown project ID"))</f>
        <v/>
      </c>
      <c r="D206" s="25"/>
      <c r="E206" s="25"/>
      <c r="F206" s="25"/>
      <c r="G206" s="25"/>
      <c r="H206" s="25"/>
      <c r="I206" s="26"/>
      <c r="J206" s="26"/>
      <c r="K206" s="26"/>
      <c r="L206" s="30" t="str">
        <f aca="true">IF(OR($J206="",$H206="Done",$H206="Cancelled"),"",$J206-TODAY())</f>
        <v/>
      </c>
      <c r="M206" s="29" t="str">
        <f aca="true">IF(AND($J206&lt;&gt;"",$H206&lt;&gt;"Done",$H206&lt;&gt;"Cancelled",$J206&lt;TODAY()),"OVERDUE","")</f>
        <v/>
      </c>
      <c r="N206" s="25"/>
      <c r="O206" s="26"/>
      <c r="P206" s="25"/>
    </row>
    <row r="207" customFormat="false" ht="15" hidden="false" customHeight="false" outlineLevel="0" collapsed="false">
      <c r="A207" s="25"/>
      <c r="B207" s="25"/>
      <c r="C207" s="29" t="str">
        <f aca="false">IF($B207="","",IFERROR(INDEX(Projects!$B$5:$B$204,MATCH($B207,Projects!$A$5:$A$204,0)),"Unknown project ID"))</f>
        <v/>
      </c>
      <c r="D207" s="25"/>
      <c r="E207" s="25"/>
      <c r="F207" s="25"/>
      <c r="G207" s="25"/>
      <c r="H207" s="25"/>
      <c r="I207" s="26"/>
      <c r="J207" s="26"/>
      <c r="K207" s="26"/>
      <c r="L207" s="30" t="str">
        <f aca="true">IF(OR($J207="",$H207="Done",$H207="Cancelled"),"",$J207-TODAY())</f>
        <v/>
      </c>
      <c r="M207" s="29" t="str">
        <f aca="true">IF(AND($J207&lt;&gt;"",$H207&lt;&gt;"Done",$H207&lt;&gt;"Cancelled",$J207&lt;TODAY()),"OVERDUE","")</f>
        <v/>
      </c>
      <c r="N207" s="25"/>
      <c r="O207" s="26"/>
      <c r="P207" s="25"/>
    </row>
    <row r="208" customFormat="false" ht="15" hidden="false" customHeight="false" outlineLevel="0" collapsed="false">
      <c r="A208" s="25"/>
      <c r="B208" s="25"/>
      <c r="C208" s="29" t="str">
        <f aca="false">IF($B208="","",IFERROR(INDEX(Projects!$B$5:$B$204,MATCH($B208,Projects!$A$5:$A$204,0)),"Unknown project ID"))</f>
        <v/>
      </c>
      <c r="D208" s="25"/>
      <c r="E208" s="25"/>
      <c r="F208" s="25"/>
      <c r="G208" s="25"/>
      <c r="H208" s="25"/>
      <c r="I208" s="26"/>
      <c r="J208" s="26"/>
      <c r="K208" s="26"/>
      <c r="L208" s="30" t="str">
        <f aca="true">IF(OR($J208="",$H208="Done",$H208="Cancelled"),"",$J208-TODAY())</f>
        <v/>
      </c>
      <c r="M208" s="29" t="str">
        <f aca="true">IF(AND($J208&lt;&gt;"",$H208&lt;&gt;"Done",$H208&lt;&gt;"Cancelled",$J208&lt;TODAY()),"OVERDUE","")</f>
        <v/>
      </c>
      <c r="N208" s="25"/>
      <c r="O208" s="26"/>
      <c r="P208" s="25"/>
    </row>
    <row r="209" customFormat="false" ht="15" hidden="false" customHeight="false" outlineLevel="0" collapsed="false">
      <c r="A209" s="25"/>
      <c r="B209" s="25"/>
      <c r="C209" s="29" t="str">
        <f aca="false">IF($B209="","",IFERROR(INDEX(Projects!$B$5:$B$204,MATCH($B209,Projects!$A$5:$A$204,0)),"Unknown project ID"))</f>
        <v/>
      </c>
      <c r="D209" s="25"/>
      <c r="E209" s="25"/>
      <c r="F209" s="25"/>
      <c r="G209" s="25"/>
      <c r="H209" s="25"/>
      <c r="I209" s="26"/>
      <c r="J209" s="26"/>
      <c r="K209" s="26"/>
      <c r="L209" s="30" t="str">
        <f aca="true">IF(OR($J209="",$H209="Done",$H209="Cancelled"),"",$J209-TODAY())</f>
        <v/>
      </c>
      <c r="M209" s="29" t="str">
        <f aca="true">IF(AND($J209&lt;&gt;"",$H209&lt;&gt;"Done",$H209&lt;&gt;"Cancelled",$J209&lt;TODAY()),"OVERDUE","")</f>
        <v/>
      </c>
      <c r="N209" s="25"/>
      <c r="O209" s="26"/>
      <c r="P209" s="25"/>
    </row>
    <row r="210" customFormat="false" ht="15" hidden="false" customHeight="false" outlineLevel="0" collapsed="false">
      <c r="A210" s="25"/>
      <c r="B210" s="25"/>
      <c r="C210" s="29" t="str">
        <f aca="false">IF($B210="","",IFERROR(INDEX(Projects!$B$5:$B$204,MATCH($B210,Projects!$A$5:$A$204,0)),"Unknown project ID"))</f>
        <v/>
      </c>
      <c r="D210" s="25"/>
      <c r="E210" s="25"/>
      <c r="F210" s="25"/>
      <c r="G210" s="25"/>
      <c r="H210" s="25"/>
      <c r="I210" s="26"/>
      <c r="J210" s="26"/>
      <c r="K210" s="26"/>
      <c r="L210" s="30" t="str">
        <f aca="true">IF(OR($J210="",$H210="Done",$H210="Cancelled"),"",$J210-TODAY())</f>
        <v/>
      </c>
      <c r="M210" s="29" t="str">
        <f aca="true">IF(AND($J210&lt;&gt;"",$H210&lt;&gt;"Done",$H210&lt;&gt;"Cancelled",$J210&lt;TODAY()),"OVERDUE","")</f>
        <v/>
      </c>
      <c r="N210" s="25"/>
      <c r="O210" s="26"/>
      <c r="P210" s="25"/>
    </row>
    <row r="211" customFormat="false" ht="15" hidden="false" customHeight="false" outlineLevel="0" collapsed="false">
      <c r="A211" s="25"/>
      <c r="B211" s="25"/>
      <c r="C211" s="29" t="str">
        <f aca="false">IF($B211="","",IFERROR(INDEX(Projects!$B$5:$B$204,MATCH($B211,Projects!$A$5:$A$204,0)),"Unknown project ID"))</f>
        <v/>
      </c>
      <c r="D211" s="25"/>
      <c r="E211" s="25"/>
      <c r="F211" s="25"/>
      <c r="G211" s="25"/>
      <c r="H211" s="25"/>
      <c r="I211" s="26"/>
      <c r="J211" s="26"/>
      <c r="K211" s="26"/>
      <c r="L211" s="30" t="str">
        <f aca="true">IF(OR($J211="",$H211="Done",$H211="Cancelled"),"",$J211-TODAY())</f>
        <v/>
      </c>
      <c r="M211" s="29" t="str">
        <f aca="true">IF(AND($J211&lt;&gt;"",$H211&lt;&gt;"Done",$H211&lt;&gt;"Cancelled",$J211&lt;TODAY()),"OVERDUE","")</f>
        <v/>
      </c>
      <c r="N211" s="25"/>
      <c r="O211" s="26"/>
      <c r="P211" s="25"/>
    </row>
    <row r="212" customFormat="false" ht="15" hidden="false" customHeight="false" outlineLevel="0" collapsed="false">
      <c r="A212" s="25"/>
      <c r="B212" s="25"/>
      <c r="C212" s="29" t="str">
        <f aca="false">IF($B212="","",IFERROR(INDEX(Projects!$B$5:$B$204,MATCH($B212,Projects!$A$5:$A$204,0)),"Unknown project ID"))</f>
        <v/>
      </c>
      <c r="D212" s="25"/>
      <c r="E212" s="25"/>
      <c r="F212" s="25"/>
      <c r="G212" s="25"/>
      <c r="H212" s="25"/>
      <c r="I212" s="26"/>
      <c r="J212" s="26"/>
      <c r="K212" s="26"/>
      <c r="L212" s="30" t="str">
        <f aca="true">IF(OR($J212="",$H212="Done",$H212="Cancelled"),"",$J212-TODAY())</f>
        <v/>
      </c>
      <c r="M212" s="29" t="str">
        <f aca="true">IF(AND($J212&lt;&gt;"",$H212&lt;&gt;"Done",$H212&lt;&gt;"Cancelled",$J212&lt;TODAY()),"OVERDUE","")</f>
        <v/>
      </c>
      <c r="N212" s="25"/>
      <c r="O212" s="26"/>
      <c r="P212" s="25"/>
    </row>
    <row r="213" customFormat="false" ht="15" hidden="false" customHeight="false" outlineLevel="0" collapsed="false">
      <c r="A213" s="25"/>
      <c r="B213" s="25"/>
      <c r="C213" s="29" t="str">
        <f aca="false">IF($B213="","",IFERROR(INDEX(Projects!$B$5:$B$204,MATCH($B213,Projects!$A$5:$A$204,0)),"Unknown project ID"))</f>
        <v/>
      </c>
      <c r="D213" s="25"/>
      <c r="E213" s="25"/>
      <c r="F213" s="25"/>
      <c r="G213" s="25"/>
      <c r="H213" s="25"/>
      <c r="I213" s="26"/>
      <c r="J213" s="26"/>
      <c r="K213" s="26"/>
      <c r="L213" s="30" t="str">
        <f aca="true">IF(OR($J213="",$H213="Done",$H213="Cancelled"),"",$J213-TODAY())</f>
        <v/>
      </c>
      <c r="M213" s="29" t="str">
        <f aca="true">IF(AND($J213&lt;&gt;"",$H213&lt;&gt;"Done",$H213&lt;&gt;"Cancelled",$J213&lt;TODAY()),"OVERDUE","")</f>
        <v/>
      </c>
      <c r="N213" s="25"/>
      <c r="O213" s="26"/>
      <c r="P213" s="25"/>
    </row>
    <row r="214" customFormat="false" ht="15" hidden="false" customHeight="false" outlineLevel="0" collapsed="false">
      <c r="A214" s="25"/>
      <c r="B214" s="25"/>
      <c r="C214" s="29" t="str">
        <f aca="false">IF($B214="","",IFERROR(INDEX(Projects!$B$5:$B$204,MATCH($B214,Projects!$A$5:$A$204,0)),"Unknown project ID"))</f>
        <v/>
      </c>
      <c r="D214" s="25"/>
      <c r="E214" s="25"/>
      <c r="F214" s="25"/>
      <c r="G214" s="25"/>
      <c r="H214" s="25"/>
      <c r="I214" s="26"/>
      <c r="J214" s="26"/>
      <c r="K214" s="26"/>
      <c r="L214" s="30" t="str">
        <f aca="true">IF(OR($J214="",$H214="Done",$H214="Cancelled"),"",$J214-TODAY())</f>
        <v/>
      </c>
      <c r="M214" s="29" t="str">
        <f aca="true">IF(AND($J214&lt;&gt;"",$H214&lt;&gt;"Done",$H214&lt;&gt;"Cancelled",$J214&lt;TODAY()),"OVERDUE","")</f>
        <v/>
      </c>
      <c r="N214" s="25"/>
      <c r="O214" s="26"/>
      <c r="P214" s="25"/>
    </row>
    <row r="215" customFormat="false" ht="15" hidden="false" customHeight="false" outlineLevel="0" collapsed="false">
      <c r="A215" s="25"/>
      <c r="B215" s="25"/>
      <c r="C215" s="29" t="str">
        <f aca="false">IF($B215="","",IFERROR(INDEX(Projects!$B$5:$B$204,MATCH($B215,Projects!$A$5:$A$204,0)),"Unknown project ID"))</f>
        <v/>
      </c>
      <c r="D215" s="25"/>
      <c r="E215" s="25"/>
      <c r="F215" s="25"/>
      <c r="G215" s="25"/>
      <c r="H215" s="25"/>
      <c r="I215" s="26"/>
      <c r="J215" s="26"/>
      <c r="K215" s="26"/>
      <c r="L215" s="30" t="str">
        <f aca="true">IF(OR($J215="",$H215="Done",$H215="Cancelled"),"",$J215-TODAY())</f>
        <v/>
      </c>
      <c r="M215" s="29" t="str">
        <f aca="true">IF(AND($J215&lt;&gt;"",$H215&lt;&gt;"Done",$H215&lt;&gt;"Cancelled",$J215&lt;TODAY()),"OVERDUE","")</f>
        <v/>
      </c>
      <c r="N215" s="25"/>
      <c r="O215" s="26"/>
      <c r="P215" s="25"/>
    </row>
    <row r="216" customFormat="false" ht="15" hidden="false" customHeight="false" outlineLevel="0" collapsed="false">
      <c r="A216" s="25"/>
      <c r="B216" s="25"/>
      <c r="C216" s="29" t="str">
        <f aca="false">IF($B216="","",IFERROR(INDEX(Projects!$B$5:$B$204,MATCH($B216,Projects!$A$5:$A$204,0)),"Unknown project ID"))</f>
        <v/>
      </c>
      <c r="D216" s="25"/>
      <c r="E216" s="25"/>
      <c r="F216" s="25"/>
      <c r="G216" s="25"/>
      <c r="H216" s="25"/>
      <c r="I216" s="26"/>
      <c r="J216" s="26"/>
      <c r="K216" s="26"/>
      <c r="L216" s="30" t="str">
        <f aca="true">IF(OR($J216="",$H216="Done",$H216="Cancelled"),"",$J216-TODAY())</f>
        <v/>
      </c>
      <c r="M216" s="29" t="str">
        <f aca="true">IF(AND($J216&lt;&gt;"",$H216&lt;&gt;"Done",$H216&lt;&gt;"Cancelled",$J216&lt;TODAY()),"OVERDUE","")</f>
        <v/>
      </c>
      <c r="N216" s="25"/>
      <c r="O216" s="26"/>
      <c r="P216" s="25"/>
    </row>
    <row r="217" customFormat="false" ht="15" hidden="false" customHeight="false" outlineLevel="0" collapsed="false">
      <c r="A217" s="25"/>
      <c r="B217" s="25"/>
      <c r="C217" s="29" t="str">
        <f aca="false">IF($B217="","",IFERROR(INDEX(Projects!$B$5:$B$204,MATCH($B217,Projects!$A$5:$A$204,0)),"Unknown project ID"))</f>
        <v/>
      </c>
      <c r="D217" s="25"/>
      <c r="E217" s="25"/>
      <c r="F217" s="25"/>
      <c r="G217" s="25"/>
      <c r="H217" s="25"/>
      <c r="I217" s="26"/>
      <c r="J217" s="26"/>
      <c r="K217" s="26"/>
      <c r="L217" s="30" t="str">
        <f aca="true">IF(OR($J217="",$H217="Done",$H217="Cancelled"),"",$J217-TODAY())</f>
        <v/>
      </c>
      <c r="M217" s="29" t="str">
        <f aca="true">IF(AND($J217&lt;&gt;"",$H217&lt;&gt;"Done",$H217&lt;&gt;"Cancelled",$J217&lt;TODAY()),"OVERDUE","")</f>
        <v/>
      </c>
      <c r="N217" s="25"/>
      <c r="O217" s="26"/>
      <c r="P217" s="25"/>
    </row>
    <row r="218" customFormat="false" ht="15" hidden="false" customHeight="false" outlineLevel="0" collapsed="false">
      <c r="A218" s="25"/>
      <c r="B218" s="25"/>
      <c r="C218" s="29" t="str">
        <f aca="false">IF($B218="","",IFERROR(INDEX(Projects!$B$5:$B$204,MATCH($B218,Projects!$A$5:$A$204,0)),"Unknown project ID"))</f>
        <v/>
      </c>
      <c r="D218" s="25"/>
      <c r="E218" s="25"/>
      <c r="F218" s="25"/>
      <c r="G218" s="25"/>
      <c r="H218" s="25"/>
      <c r="I218" s="26"/>
      <c r="J218" s="26"/>
      <c r="K218" s="26"/>
      <c r="L218" s="30" t="str">
        <f aca="true">IF(OR($J218="",$H218="Done",$H218="Cancelled"),"",$J218-TODAY())</f>
        <v/>
      </c>
      <c r="M218" s="29" t="str">
        <f aca="true">IF(AND($J218&lt;&gt;"",$H218&lt;&gt;"Done",$H218&lt;&gt;"Cancelled",$J218&lt;TODAY()),"OVERDUE","")</f>
        <v/>
      </c>
      <c r="N218" s="25"/>
      <c r="O218" s="26"/>
      <c r="P218" s="25"/>
    </row>
    <row r="219" customFormat="false" ht="15" hidden="false" customHeight="false" outlineLevel="0" collapsed="false">
      <c r="A219" s="25"/>
      <c r="B219" s="25"/>
      <c r="C219" s="29" t="str">
        <f aca="false">IF($B219="","",IFERROR(INDEX(Projects!$B$5:$B$204,MATCH($B219,Projects!$A$5:$A$204,0)),"Unknown project ID"))</f>
        <v/>
      </c>
      <c r="D219" s="25"/>
      <c r="E219" s="25"/>
      <c r="F219" s="25"/>
      <c r="G219" s="25"/>
      <c r="H219" s="25"/>
      <c r="I219" s="26"/>
      <c r="J219" s="26"/>
      <c r="K219" s="26"/>
      <c r="L219" s="30" t="str">
        <f aca="true">IF(OR($J219="",$H219="Done",$H219="Cancelled"),"",$J219-TODAY())</f>
        <v/>
      </c>
      <c r="M219" s="29" t="str">
        <f aca="true">IF(AND($J219&lt;&gt;"",$H219&lt;&gt;"Done",$H219&lt;&gt;"Cancelled",$J219&lt;TODAY()),"OVERDUE","")</f>
        <v/>
      </c>
      <c r="N219" s="25"/>
      <c r="O219" s="26"/>
      <c r="P219" s="25"/>
    </row>
    <row r="220" customFormat="false" ht="15" hidden="false" customHeight="false" outlineLevel="0" collapsed="false">
      <c r="A220" s="25"/>
      <c r="B220" s="25"/>
      <c r="C220" s="29" t="str">
        <f aca="false">IF($B220="","",IFERROR(INDEX(Projects!$B$5:$B$204,MATCH($B220,Projects!$A$5:$A$204,0)),"Unknown project ID"))</f>
        <v/>
      </c>
      <c r="D220" s="25"/>
      <c r="E220" s="25"/>
      <c r="F220" s="25"/>
      <c r="G220" s="25"/>
      <c r="H220" s="25"/>
      <c r="I220" s="26"/>
      <c r="J220" s="26"/>
      <c r="K220" s="26"/>
      <c r="L220" s="30" t="str">
        <f aca="true">IF(OR($J220="",$H220="Done",$H220="Cancelled"),"",$J220-TODAY())</f>
        <v/>
      </c>
      <c r="M220" s="29" t="str">
        <f aca="true">IF(AND($J220&lt;&gt;"",$H220&lt;&gt;"Done",$H220&lt;&gt;"Cancelled",$J220&lt;TODAY()),"OVERDUE","")</f>
        <v/>
      </c>
      <c r="N220" s="25"/>
      <c r="O220" s="26"/>
      <c r="P220" s="25"/>
    </row>
    <row r="221" customFormat="false" ht="15" hidden="false" customHeight="false" outlineLevel="0" collapsed="false">
      <c r="A221" s="25"/>
      <c r="B221" s="25"/>
      <c r="C221" s="29" t="str">
        <f aca="false">IF($B221="","",IFERROR(INDEX(Projects!$B$5:$B$204,MATCH($B221,Projects!$A$5:$A$204,0)),"Unknown project ID"))</f>
        <v/>
      </c>
      <c r="D221" s="25"/>
      <c r="E221" s="25"/>
      <c r="F221" s="25"/>
      <c r="G221" s="25"/>
      <c r="H221" s="25"/>
      <c r="I221" s="26"/>
      <c r="J221" s="26"/>
      <c r="K221" s="26"/>
      <c r="L221" s="30" t="str">
        <f aca="true">IF(OR($J221="",$H221="Done",$H221="Cancelled"),"",$J221-TODAY())</f>
        <v/>
      </c>
      <c r="M221" s="29" t="str">
        <f aca="true">IF(AND($J221&lt;&gt;"",$H221&lt;&gt;"Done",$H221&lt;&gt;"Cancelled",$J221&lt;TODAY()),"OVERDUE","")</f>
        <v/>
      </c>
      <c r="N221" s="25"/>
      <c r="O221" s="26"/>
      <c r="P221" s="25"/>
    </row>
    <row r="222" customFormat="false" ht="15" hidden="false" customHeight="false" outlineLevel="0" collapsed="false">
      <c r="A222" s="25"/>
      <c r="B222" s="25"/>
      <c r="C222" s="29" t="str">
        <f aca="false">IF($B222="","",IFERROR(INDEX(Projects!$B$5:$B$204,MATCH($B222,Projects!$A$5:$A$204,0)),"Unknown project ID"))</f>
        <v/>
      </c>
      <c r="D222" s="25"/>
      <c r="E222" s="25"/>
      <c r="F222" s="25"/>
      <c r="G222" s="25"/>
      <c r="H222" s="25"/>
      <c r="I222" s="26"/>
      <c r="J222" s="26"/>
      <c r="K222" s="26"/>
      <c r="L222" s="30" t="str">
        <f aca="true">IF(OR($J222="",$H222="Done",$H222="Cancelled"),"",$J222-TODAY())</f>
        <v/>
      </c>
      <c r="M222" s="29" t="str">
        <f aca="true">IF(AND($J222&lt;&gt;"",$H222&lt;&gt;"Done",$H222&lt;&gt;"Cancelled",$J222&lt;TODAY()),"OVERDUE","")</f>
        <v/>
      </c>
      <c r="N222" s="25"/>
      <c r="O222" s="26"/>
      <c r="P222" s="25"/>
    </row>
    <row r="223" customFormat="false" ht="15" hidden="false" customHeight="false" outlineLevel="0" collapsed="false">
      <c r="A223" s="25"/>
      <c r="B223" s="25"/>
      <c r="C223" s="29" t="str">
        <f aca="false">IF($B223="","",IFERROR(INDEX(Projects!$B$5:$B$204,MATCH($B223,Projects!$A$5:$A$204,0)),"Unknown project ID"))</f>
        <v/>
      </c>
      <c r="D223" s="25"/>
      <c r="E223" s="25"/>
      <c r="F223" s="25"/>
      <c r="G223" s="25"/>
      <c r="H223" s="25"/>
      <c r="I223" s="26"/>
      <c r="J223" s="26"/>
      <c r="K223" s="26"/>
      <c r="L223" s="30" t="str">
        <f aca="true">IF(OR($J223="",$H223="Done",$H223="Cancelled"),"",$J223-TODAY())</f>
        <v/>
      </c>
      <c r="M223" s="29" t="str">
        <f aca="true">IF(AND($J223&lt;&gt;"",$H223&lt;&gt;"Done",$H223&lt;&gt;"Cancelled",$J223&lt;TODAY()),"OVERDUE","")</f>
        <v/>
      </c>
      <c r="N223" s="25"/>
      <c r="O223" s="26"/>
      <c r="P223" s="25"/>
    </row>
    <row r="224" customFormat="false" ht="15" hidden="false" customHeight="false" outlineLevel="0" collapsed="false">
      <c r="A224" s="25"/>
      <c r="B224" s="25"/>
      <c r="C224" s="29" t="str">
        <f aca="false">IF($B224="","",IFERROR(INDEX(Projects!$B$5:$B$204,MATCH($B224,Projects!$A$5:$A$204,0)),"Unknown project ID"))</f>
        <v/>
      </c>
      <c r="D224" s="25"/>
      <c r="E224" s="25"/>
      <c r="F224" s="25"/>
      <c r="G224" s="25"/>
      <c r="H224" s="25"/>
      <c r="I224" s="26"/>
      <c r="J224" s="26"/>
      <c r="K224" s="26"/>
      <c r="L224" s="30" t="str">
        <f aca="true">IF(OR($J224="",$H224="Done",$H224="Cancelled"),"",$J224-TODAY())</f>
        <v/>
      </c>
      <c r="M224" s="29" t="str">
        <f aca="true">IF(AND($J224&lt;&gt;"",$H224&lt;&gt;"Done",$H224&lt;&gt;"Cancelled",$J224&lt;TODAY()),"OVERDUE","")</f>
        <v/>
      </c>
      <c r="N224" s="25"/>
      <c r="O224" s="26"/>
      <c r="P224" s="25"/>
    </row>
    <row r="225" customFormat="false" ht="15" hidden="false" customHeight="false" outlineLevel="0" collapsed="false">
      <c r="A225" s="25"/>
      <c r="B225" s="25"/>
      <c r="C225" s="29" t="str">
        <f aca="false">IF($B225="","",IFERROR(INDEX(Projects!$B$5:$B$204,MATCH($B225,Projects!$A$5:$A$204,0)),"Unknown project ID"))</f>
        <v/>
      </c>
      <c r="D225" s="25"/>
      <c r="E225" s="25"/>
      <c r="F225" s="25"/>
      <c r="G225" s="25"/>
      <c r="H225" s="25"/>
      <c r="I225" s="26"/>
      <c r="J225" s="26"/>
      <c r="K225" s="26"/>
      <c r="L225" s="30" t="str">
        <f aca="true">IF(OR($J225="",$H225="Done",$H225="Cancelled"),"",$J225-TODAY())</f>
        <v/>
      </c>
      <c r="M225" s="29" t="str">
        <f aca="true">IF(AND($J225&lt;&gt;"",$H225&lt;&gt;"Done",$H225&lt;&gt;"Cancelled",$J225&lt;TODAY()),"OVERDUE","")</f>
        <v/>
      </c>
      <c r="N225" s="25"/>
      <c r="O225" s="26"/>
      <c r="P225" s="25"/>
    </row>
    <row r="226" customFormat="false" ht="15" hidden="false" customHeight="false" outlineLevel="0" collapsed="false">
      <c r="A226" s="25"/>
      <c r="B226" s="25"/>
      <c r="C226" s="29" t="str">
        <f aca="false">IF($B226="","",IFERROR(INDEX(Projects!$B$5:$B$204,MATCH($B226,Projects!$A$5:$A$204,0)),"Unknown project ID"))</f>
        <v/>
      </c>
      <c r="D226" s="25"/>
      <c r="E226" s="25"/>
      <c r="F226" s="25"/>
      <c r="G226" s="25"/>
      <c r="H226" s="25"/>
      <c r="I226" s="26"/>
      <c r="J226" s="26"/>
      <c r="K226" s="26"/>
      <c r="L226" s="30" t="str">
        <f aca="true">IF(OR($J226="",$H226="Done",$H226="Cancelled"),"",$J226-TODAY())</f>
        <v/>
      </c>
      <c r="M226" s="29" t="str">
        <f aca="true">IF(AND($J226&lt;&gt;"",$H226&lt;&gt;"Done",$H226&lt;&gt;"Cancelled",$J226&lt;TODAY()),"OVERDUE","")</f>
        <v/>
      </c>
      <c r="N226" s="25"/>
      <c r="O226" s="26"/>
      <c r="P226" s="25"/>
    </row>
    <row r="227" customFormat="false" ht="15" hidden="false" customHeight="false" outlineLevel="0" collapsed="false">
      <c r="A227" s="25"/>
      <c r="B227" s="25"/>
      <c r="C227" s="29" t="str">
        <f aca="false">IF($B227="","",IFERROR(INDEX(Projects!$B$5:$B$204,MATCH($B227,Projects!$A$5:$A$204,0)),"Unknown project ID"))</f>
        <v/>
      </c>
      <c r="D227" s="25"/>
      <c r="E227" s="25"/>
      <c r="F227" s="25"/>
      <c r="G227" s="25"/>
      <c r="H227" s="25"/>
      <c r="I227" s="26"/>
      <c r="J227" s="26"/>
      <c r="K227" s="26"/>
      <c r="L227" s="30" t="str">
        <f aca="true">IF(OR($J227="",$H227="Done",$H227="Cancelled"),"",$J227-TODAY())</f>
        <v/>
      </c>
      <c r="M227" s="29" t="str">
        <f aca="true">IF(AND($J227&lt;&gt;"",$H227&lt;&gt;"Done",$H227&lt;&gt;"Cancelled",$J227&lt;TODAY()),"OVERDUE","")</f>
        <v/>
      </c>
      <c r="N227" s="25"/>
      <c r="O227" s="26"/>
      <c r="P227" s="25"/>
    </row>
    <row r="228" customFormat="false" ht="15" hidden="false" customHeight="false" outlineLevel="0" collapsed="false">
      <c r="A228" s="25"/>
      <c r="B228" s="25"/>
      <c r="C228" s="29" t="str">
        <f aca="false">IF($B228="","",IFERROR(INDEX(Projects!$B$5:$B$204,MATCH($B228,Projects!$A$5:$A$204,0)),"Unknown project ID"))</f>
        <v/>
      </c>
      <c r="D228" s="25"/>
      <c r="E228" s="25"/>
      <c r="F228" s="25"/>
      <c r="G228" s="25"/>
      <c r="H228" s="25"/>
      <c r="I228" s="26"/>
      <c r="J228" s="26"/>
      <c r="K228" s="26"/>
      <c r="L228" s="30" t="str">
        <f aca="true">IF(OR($J228="",$H228="Done",$H228="Cancelled"),"",$J228-TODAY())</f>
        <v/>
      </c>
      <c r="M228" s="29" t="str">
        <f aca="true">IF(AND($J228&lt;&gt;"",$H228&lt;&gt;"Done",$H228&lt;&gt;"Cancelled",$J228&lt;TODAY()),"OVERDUE","")</f>
        <v/>
      </c>
      <c r="N228" s="25"/>
      <c r="O228" s="26"/>
      <c r="P228" s="25"/>
    </row>
    <row r="229" customFormat="false" ht="15" hidden="false" customHeight="false" outlineLevel="0" collapsed="false">
      <c r="A229" s="25"/>
      <c r="B229" s="25"/>
      <c r="C229" s="29" t="str">
        <f aca="false">IF($B229="","",IFERROR(INDEX(Projects!$B$5:$B$204,MATCH($B229,Projects!$A$5:$A$204,0)),"Unknown project ID"))</f>
        <v/>
      </c>
      <c r="D229" s="25"/>
      <c r="E229" s="25"/>
      <c r="F229" s="25"/>
      <c r="G229" s="25"/>
      <c r="H229" s="25"/>
      <c r="I229" s="26"/>
      <c r="J229" s="26"/>
      <c r="K229" s="26"/>
      <c r="L229" s="30" t="str">
        <f aca="true">IF(OR($J229="",$H229="Done",$H229="Cancelled"),"",$J229-TODAY())</f>
        <v/>
      </c>
      <c r="M229" s="29" t="str">
        <f aca="true">IF(AND($J229&lt;&gt;"",$H229&lt;&gt;"Done",$H229&lt;&gt;"Cancelled",$J229&lt;TODAY()),"OVERDUE","")</f>
        <v/>
      </c>
      <c r="N229" s="25"/>
      <c r="O229" s="26"/>
      <c r="P229" s="25"/>
    </row>
    <row r="230" customFormat="false" ht="15" hidden="false" customHeight="false" outlineLevel="0" collapsed="false">
      <c r="A230" s="25"/>
      <c r="B230" s="25"/>
      <c r="C230" s="29" t="str">
        <f aca="false">IF($B230="","",IFERROR(INDEX(Projects!$B$5:$B$204,MATCH($B230,Projects!$A$5:$A$204,0)),"Unknown project ID"))</f>
        <v/>
      </c>
      <c r="D230" s="25"/>
      <c r="E230" s="25"/>
      <c r="F230" s="25"/>
      <c r="G230" s="25"/>
      <c r="H230" s="25"/>
      <c r="I230" s="26"/>
      <c r="J230" s="26"/>
      <c r="K230" s="26"/>
      <c r="L230" s="30" t="str">
        <f aca="true">IF(OR($J230="",$H230="Done",$H230="Cancelled"),"",$J230-TODAY())</f>
        <v/>
      </c>
      <c r="M230" s="29" t="str">
        <f aca="true">IF(AND($J230&lt;&gt;"",$H230&lt;&gt;"Done",$H230&lt;&gt;"Cancelled",$J230&lt;TODAY()),"OVERDUE","")</f>
        <v/>
      </c>
      <c r="N230" s="25"/>
      <c r="O230" s="26"/>
      <c r="P230" s="25"/>
    </row>
    <row r="231" customFormat="false" ht="15" hidden="false" customHeight="false" outlineLevel="0" collapsed="false">
      <c r="A231" s="25"/>
      <c r="B231" s="25"/>
      <c r="C231" s="29" t="str">
        <f aca="false">IF($B231="","",IFERROR(INDEX(Projects!$B$5:$B$204,MATCH($B231,Projects!$A$5:$A$204,0)),"Unknown project ID"))</f>
        <v/>
      </c>
      <c r="D231" s="25"/>
      <c r="E231" s="25"/>
      <c r="F231" s="25"/>
      <c r="G231" s="25"/>
      <c r="H231" s="25"/>
      <c r="I231" s="26"/>
      <c r="J231" s="26"/>
      <c r="K231" s="26"/>
      <c r="L231" s="30" t="str">
        <f aca="true">IF(OR($J231="",$H231="Done",$H231="Cancelled"),"",$J231-TODAY())</f>
        <v/>
      </c>
      <c r="M231" s="29" t="str">
        <f aca="true">IF(AND($J231&lt;&gt;"",$H231&lt;&gt;"Done",$H231&lt;&gt;"Cancelled",$J231&lt;TODAY()),"OVERDUE","")</f>
        <v/>
      </c>
      <c r="N231" s="25"/>
      <c r="O231" s="26"/>
      <c r="P231" s="25"/>
    </row>
    <row r="232" customFormat="false" ht="15" hidden="false" customHeight="false" outlineLevel="0" collapsed="false">
      <c r="A232" s="25"/>
      <c r="B232" s="25"/>
      <c r="C232" s="29" t="str">
        <f aca="false">IF($B232="","",IFERROR(INDEX(Projects!$B$5:$B$204,MATCH($B232,Projects!$A$5:$A$204,0)),"Unknown project ID"))</f>
        <v/>
      </c>
      <c r="D232" s="25"/>
      <c r="E232" s="25"/>
      <c r="F232" s="25"/>
      <c r="G232" s="25"/>
      <c r="H232" s="25"/>
      <c r="I232" s="26"/>
      <c r="J232" s="26"/>
      <c r="K232" s="26"/>
      <c r="L232" s="30" t="str">
        <f aca="true">IF(OR($J232="",$H232="Done",$H232="Cancelled"),"",$J232-TODAY())</f>
        <v/>
      </c>
      <c r="M232" s="29" t="str">
        <f aca="true">IF(AND($J232&lt;&gt;"",$H232&lt;&gt;"Done",$H232&lt;&gt;"Cancelled",$J232&lt;TODAY()),"OVERDUE","")</f>
        <v/>
      </c>
      <c r="N232" s="25"/>
      <c r="O232" s="26"/>
      <c r="P232" s="25"/>
    </row>
    <row r="233" customFormat="false" ht="15" hidden="false" customHeight="false" outlineLevel="0" collapsed="false">
      <c r="A233" s="25"/>
      <c r="B233" s="25"/>
      <c r="C233" s="29" t="str">
        <f aca="false">IF($B233="","",IFERROR(INDEX(Projects!$B$5:$B$204,MATCH($B233,Projects!$A$5:$A$204,0)),"Unknown project ID"))</f>
        <v/>
      </c>
      <c r="D233" s="25"/>
      <c r="E233" s="25"/>
      <c r="F233" s="25"/>
      <c r="G233" s="25"/>
      <c r="H233" s="25"/>
      <c r="I233" s="26"/>
      <c r="J233" s="26"/>
      <c r="K233" s="26"/>
      <c r="L233" s="30" t="str">
        <f aca="true">IF(OR($J233="",$H233="Done",$H233="Cancelled"),"",$J233-TODAY())</f>
        <v/>
      </c>
      <c r="M233" s="29" t="str">
        <f aca="true">IF(AND($J233&lt;&gt;"",$H233&lt;&gt;"Done",$H233&lt;&gt;"Cancelled",$J233&lt;TODAY()),"OVERDUE","")</f>
        <v/>
      </c>
      <c r="N233" s="25"/>
      <c r="O233" s="26"/>
      <c r="P233" s="25"/>
    </row>
    <row r="234" customFormat="false" ht="15" hidden="false" customHeight="false" outlineLevel="0" collapsed="false">
      <c r="A234" s="25"/>
      <c r="B234" s="25"/>
      <c r="C234" s="29" t="str">
        <f aca="false">IF($B234="","",IFERROR(INDEX(Projects!$B$5:$B$204,MATCH($B234,Projects!$A$5:$A$204,0)),"Unknown project ID"))</f>
        <v/>
      </c>
      <c r="D234" s="25"/>
      <c r="E234" s="25"/>
      <c r="F234" s="25"/>
      <c r="G234" s="25"/>
      <c r="H234" s="25"/>
      <c r="I234" s="26"/>
      <c r="J234" s="26"/>
      <c r="K234" s="26"/>
      <c r="L234" s="30" t="str">
        <f aca="true">IF(OR($J234="",$H234="Done",$H234="Cancelled"),"",$J234-TODAY())</f>
        <v/>
      </c>
      <c r="M234" s="29" t="str">
        <f aca="true">IF(AND($J234&lt;&gt;"",$H234&lt;&gt;"Done",$H234&lt;&gt;"Cancelled",$J234&lt;TODAY()),"OVERDUE","")</f>
        <v/>
      </c>
      <c r="N234" s="25"/>
      <c r="O234" s="26"/>
      <c r="P234" s="25"/>
    </row>
    <row r="235" customFormat="false" ht="15" hidden="false" customHeight="false" outlineLevel="0" collapsed="false">
      <c r="A235" s="25"/>
      <c r="B235" s="25"/>
      <c r="C235" s="29" t="str">
        <f aca="false">IF($B235="","",IFERROR(INDEX(Projects!$B$5:$B$204,MATCH($B235,Projects!$A$5:$A$204,0)),"Unknown project ID"))</f>
        <v/>
      </c>
      <c r="D235" s="25"/>
      <c r="E235" s="25"/>
      <c r="F235" s="25"/>
      <c r="G235" s="25"/>
      <c r="H235" s="25"/>
      <c r="I235" s="26"/>
      <c r="J235" s="26"/>
      <c r="K235" s="26"/>
      <c r="L235" s="30" t="str">
        <f aca="true">IF(OR($J235="",$H235="Done",$H235="Cancelled"),"",$J235-TODAY())</f>
        <v/>
      </c>
      <c r="M235" s="29" t="str">
        <f aca="true">IF(AND($J235&lt;&gt;"",$H235&lt;&gt;"Done",$H235&lt;&gt;"Cancelled",$J235&lt;TODAY()),"OVERDUE","")</f>
        <v/>
      </c>
      <c r="N235" s="25"/>
      <c r="O235" s="26"/>
      <c r="P235" s="25"/>
    </row>
    <row r="236" customFormat="false" ht="15" hidden="false" customHeight="false" outlineLevel="0" collapsed="false">
      <c r="A236" s="25"/>
      <c r="B236" s="25"/>
      <c r="C236" s="29" t="str">
        <f aca="false">IF($B236="","",IFERROR(INDEX(Projects!$B$5:$B$204,MATCH($B236,Projects!$A$5:$A$204,0)),"Unknown project ID"))</f>
        <v/>
      </c>
      <c r="D236" s="25"/>
      <c r="E236" s="25"/>
      <c r="F236" s="25"/>
      <c r="G236" s="25"/>
      <c r="H236" s="25"/>
      <c r="I236" s="26"/>
      <c r="J236" s="26"/>
      <c r="K236" s="26"/>
      <c r="L236" s="30" t="str">
        <f aca="true">IF(OR($J236="",$H236="Done",$H236="Cancelled"),"",$J236-TODAY())</f>
        <v/>
      </c>
      <c r="M236" s="29" t="str">
        <f aca="true">IF(AND($J236&lt;&gt;"",$H236&lt;&gt;"Done",$H236&lt;&gt;"Cancelled",$J236&lt;TODAY()),"OVERDUE","")</f>
        <v/>
      </c>
      <c r="N236" s="25"/>
      <c r="O236" s="26"/>
      <c r="P236" s="25"/>
    </row>
    <row r="237" customFormat="false" ht="15" hidden="false" customHeight="false" outlineLevel="0" collapsed="false">
      <c r="A237" s="25"/>
      <c r="B237" s="25"/>
      <c r="C237" s="29" t="str">
        <f aca="false">IF($B237="","",IFERROR(INDEX(Projects!$B$5:$B$204,MATCH($B237,Projects!$A$5:$A$204,0)),"Unknown project ID"))</f>
        <v/>
      </c>
      <c r="D237" s="25"/>
      <c r="E237" s="25"/>
      <c r="F237" s="25"/>
      <c r="G237" s="25"/>
      <c r="H237" s="25"/>
      <c r="I237" s="26"/>
      <c r="J237" s="26"/>
      <c r="K237" s="26"/>
      <c r="L237" s="30" t="str">
        <f aca="true">IF(OR($J237="",$H237="Done",$H237="Cancelled"),"",$J237-TODAY())</f>
        <v/>
      </c>
      <c r="M237" s="29" t="str">
        <f aca="true">IF(AND($J237&lt;&gt;"",$H237&lt;&gt;"Done",$H237&lt;&gt;"Cancelled",$J237&lt;TODAY()),"OVERDUE","")</f>
        <v/>
      </c>
      <c r="N237" s="25"/>
      <c r="O237" s="26"/>
      <c r="P237" s="25"/>
    </row>
    <row r="238" customFormat="false" ht="15" hidden="false" customHeight="false" outlineLevel="0" collapsed="false">
      <c r="A238" s="25"/>
      <c r="B238" s="25"/>
      <c r="C238" s="29" t="str">
        <f aca="false">IF($B238="","",IFERROR(INDEX(Projects!$B$5:$B$204,MATCH($B238,Projects!$A$5:$A$204,0)),"Unknown project ID"))</f>
        <v/>
      </c>
      <c r="D238" s="25"/>
      <c r="E238" s="25"/>
      <c r="F238" s="25"/>
      <c r="G238" s="25"/>
      <c r="H238" s="25"/>
      <c r="I238" s="26"/>
      <c r="J238" s="26"/>
      <c r="K238" s="26"/>
      <c r="L238" s="30" t="str">
        <f aca="true">IF(OR($J238="",$H238="Done",$H238="Cancelled"),"",$J238-TODAY())</f>
        <v/>
      </c>
      <c r="M238" s="29" t="str">
        <f aca="true">IF(AND($J238&lt;&gt;"",$H238&lt;&gt;"Done",$H238&lt;&gt;"Cancelled",$J238&lt;TODAY()),"OVERDUE","")</f>
        <v/>
      </c>
      <c r="N238" s="25"/>
      <c r="O238" s="26"/>
      <c r="P238" s="25"/>
    </row>
    <row r="239" customFormat="false" ht="15" hidden="false" customHeight="false" outlineLevel="0" collapsed="false">
      <c r="A239" s="25"/>
      <c r="B239" s="25"/>
      <c r="C239" s="29" t="str">
        <f aca="false">IF($B239="","",IFERROR(INDEX(Projects!$B$5:$B$204,MATCH($B239,Projects!$A$5:$A$204,0)),"Unknown project ID"))</f>
        <v/>
      </c>
      <c r="D239" s="25"/>
      <c r="E239" s="25"/>
      <c r="F239" s="25"/>
      <c r="G239" s="25"/>
      <c r="H239" s="25"/>
      <c r="I239" s="26"/>
      <c r="J239" s="26"/>
      <c r="K239" s="26"/>
      <c r="L239" s="30" t="str">
        <f aca="true">IF(OR($J239="",$H239="Done",$H239="Cancelled"),"",$J239-TODAY())</f>
        <v/>
      </c>
      <c r="M239" s="29" t="str">
        <f aca="true">IF(AND($J239&lt;&gt;"",$H239&lt;&gt;"Done",$H239&lt;&gt;"Cancelled",$J239&lt;TODAY()),"OVERDUE","")</f>
        <v/>
      </c>
      <c r="N239" s="25"/>
      <c r="O239" s="26"/>
      <c r="P239" s="25"/>
    </row>
    <row r="240" customFormat="false" ht="15" hidden="false" customHeight="false" outlineLevel="0" collapsed="false">
      <c r="A240" s="25"/>
      <c r="B240" s="25"/>
      <c r="C240" s="29" t="str">
        <f aca="false">IF($B240="","",IFERROR(INDEX(Projects!$B$5:$B$204,MATCH($B240,Projects!$A$5:$A$204,0)),"Unknown project ID"))</f>
        <v/>
      </c>
      <c r="D240" s="25"/>
      <c r="E240" s="25"/>
      <c r="F240" s="25"/>
      <c r="G240" s="25"/>
      <c r="H240" s="25"/>
      <c r="I240" s="26"/>
      <c r="J240" s="26"/>
      <c r="K240" s="26"/>
      <c r="L240" s="30" t="str">
        <f aca="true">IF(OR($J240="",$H240="Done",$H240="Cancelled"),"",$J240-TODAY())</f>
        <v/>
      </c>
      <c r="M240" s="29" t="str">
        <f aca="true">IF(AND($J240&lt;&gt;"",$H240&lt;&gt;"Done",$H240&lt;&gt;"Cancelled",$J240&lt;TODAY()),"OVERDUE","")</f>
        <v/>
      </c>
      <c r="N240" s="25"/>
      <c r="O240" s="26"/>
      <c r="P240" s="25"/>
    </row>
    <row r="241" customFormat="false" ht="15" hidden="false" customHeight="false" outlineLevel="0" collapsed="false">
      <c r="A241" s="25"/>
      <c r="B241" s="25"/>
      <c r="C241" s="29" t="str">
        <f aca="false">IF($B241="","",IFERROR(INDEX(Projects!$B$5:$B$204,MATCH($B241,Projects!$A$5:$A$204,0)),"Unknown project ID"))</f>
        <v/>
      </c>
      <c r="D241" s="25"/>
      <c r="E241" s="25"/>
      <c r="F241" s="25"/>
      <c r="G241" s="25"/>
      <c r="H241" s="25"/>
      <c r="I241" s="26"/>
      <c r="J241" s="26"/>
      <c r="K241" s="26"/>
      <c r="L241" s="30" t="str">
        <f aca="true">IF(OR($J241="",$H241="Done",$H241="Cancelled"),"",$J241-TODAY())</f>
        <v/>
      </c>
      <c r="M241" s="29" t="str">
        <f aca="true">IF(AND($J241&lt;&gt;"",$H241&lt;&gt;"Done",$H241&lt;&gt;"Cancelled",$J241&lt;TODAY()),"OVERDUE","")</f>
        <v/>
      </c>
      <c r="N241" s="25"/>
      <c r="O241" s="26"/>
      <c r="P241" s="25"/>
    </row>
    <row r="242" customFormat="false" ht="15" hidden="false" customHeight="false" outlineLevel="0" collapsed="false">
      <c r="A242" s="25"/>
      <c r="B242" s="25"/>
      <c r="C242" s="29" t="str">
        <f aca="false">IF($B242="","",IFERROR(INDEX(Projects!$B$5:$B$204,MATCH($B242,Projects!$A$5:$A$204,0)),"Unknown project ID"))</f>
        <v/>
      </c>
      <c r="D242" s="25"/>
      <c r="E242" s="25"/>
      <c r="F242" s="25"/>
      <c r="G242" s="25"/>
      <c r="H242" s="25"/>
      <c r="I242" s="26"/>
      <c r="J242" s="26"/>
      <c r="K242" s="26"/>
      <c r="L242" s="30" t="str">
        <f aca="true">IF(OR($J242="",$H242="Done",$H242="Cancelled"),"",$J242-TODAY())</f>
        <v/>
      </c>
      <c r="M242" s="29" t="str">
        <f aca="true">IF(AND($J242&lt;&gt;"",$H242&lt;&gt;"Done",$H242&lt;&gt;"Cancelled",$J242&lt;TODAY()),"OVERDUE","")</f>
        <v/>
      </c>
      <c r="N242" s="25"/>
      <c r="O242" s="26"/>
      <c r="P242" s="25"/>
    </row>
    <row r="243" customFormat="false" ht="15" hidden="false" customHeight="false" outlineLevel="0" collapsed="false">
      <c r="A243" s="25"/>
      <c r="B243" s="25"/>
      <c r="C243" s="29" t="str">
        <f aca="false">IF($B243="","",IFERROR(INDEX(Projects!$B$5:$B$204,MATCH($B243,Projects!$A$5:$A$204,0)),"Unknown project ID"))</f>
        <v/>
      </c>
      <c r="D243" s="25"/>
      <c r="E243" s="25"/>
      <c r="F243" s="25"/>
      <c r="G243" s="25"/>
      <c r="H243" s="25"/>
      <c r="I243" s="26"/>
      <c r="J243" s="26"/>
      <c r="K243" s="26"/>
      <c r="L243" s="30" t="str">
        <f aca="true">IF(OR($J243="",$H243="Done",$H243="Cancelled"),"",$J243-TODAY())</f>
        <v/>
      </c>
      <c r="M243" s="29" t="str">
        <f aca="true">IF(AND($J243&lt;&gt;"",$H243&lt;&gt;"Done",$H243&lt;&gt;"Cancelled",$J243&lt;TODAY()),"OVERDUE","")</f>
        <v/>
      </c>
      <c r="N243" s="25"/>
      <c r="O243" s="26"/>
      <c r="P243" s="25"/>
    </row>
    <row r="244" customFormat="false" ht="15" hidden="false" customHeight="false" outlineLevel="0" collapsed="false">
      <c r="A244" s="25"/>
      <c r="B244" s="25"/>
      <c r="C244" s="29" t="str">
        <f aca="false">IF($B244="","",IFERROR(INDEX(Projects!$B$5:$B$204,MATCH($B244,Projects!$A$5:$A$204,0)),"Unknown project ID"))</f>
        <v/>
      </c>
      <c r="D244" s="25"/>
      <c r="E244" s="25"/>
      <c r="F244" s="25"/>
      <c r="G244" s="25"/>
      <c r="H244" s="25"/>
      <c r="I244" s="26"/>
      <c r="J244" s="26"/>
      <c r="K244" s="26"/>
      <c r="L244" s="30" t="str">
        <f aca="true">IF(OR($J244="",$H244="Done",$H244="Cancelled"),"",$J244-TODAY())</f>
        <v/>
      </c>
      <c r="M244" s="29" t="str">
        <f aca="true">IF(AND($J244&lt;&gt;"",$H244&lt;&gt;"Done",$H244&lt;&gt;"Cancelled",$J244&lt;TODAY()),"OVERDUE","")</f>
        <v/>
      </c>
      <c r="N244" s="25"/>
      <c r="O244" s="26"/>
      <c r="P244" s="25"/>
    </row>
    <row r="245" customFormat="false" ht="15" hidden="false" customHeight="false" outlineLevel="0" collapsed="false">
      <c r="A245" s="25"/>
      <c r="B245" s="25"/>
      <c r="C245" s="29" t="str">
        <f aca="false">IF($B245="","",IFERROR(INDEX(Projects!$B$5:$B$204,MATCH($B245,Projects!$A$5:$A$204,0)),"Unknown project ID"))</f>
        <v/>
      </c>
      <c r="D245" s="25"/>
      <c r="E245" s="25"/>
      <c r="F245" s="25"/>
      <c r="G245" s="25"/>
      <c r="H245" s="25"/>
      <c r="I245" s="26"/>
      <c r="J245" s="26"/>
      <c r="K245" s="26"/>
      <c r="L245" s="30" t="str">
        <f aca="true">IF(OR($J245="",$H245="Done",$H245="Cancelled"),"",$J245-TODAY())</f>
        <v/>
      </c>
      <c r="M245" s="29" t="str">
        <f aca="true">IF(AND($J245&lt;&gt;"",$H245&lt;&gt;"Done",$H245&lt;&gt;"Cancelled",$J245&lt;TODAY()),"OVERDUE","")</f>
        <v/>
      </c>
      <c r="N245" s="25"/>
      <c r="O245" s="26"/>
      <c r="P245" s="25"/>
    </row>
    <row r="246" customFormat="false" ht="15" hidden="false" customHeight="false" outlineLevel="0" collapsed="false">
      <c r="A246" s="25"/>
      <c r="B246" s="25"/>
      <c r="C246" s="29" t="str">
        <f aca="false">IF($B246="","",IFERROR(INDEX(Projects!$B$5:$B$204,MATCH($B246,Projects!$A$5:$A$204,0)),"Unknown project ID"))</f>
        <v/>
      </c>
      <c r="D246" s="25"/>
      <c r="E246" s="25"/>
      <c r="F246" s="25"/>
      <c r="G246" s="25"/>
      <c r="H246" s="25"/>
      <c r="I246" s="26"/>
      <c r="J246" s="26"/>
      <c r="K246" s="26"/>
      <c r="L246" s="30" t="str">
        <f aca="true">IF(OR($J246="",$H246="Done",$H246="Cancelled"),"",$J246-TODAY())</f>
        <v/>
      </c>
      <c r="M246" s="29" t="str">
        <f aca="true">IF(AND($J246&lt;&gt;"",$H246&lt;&gt;"Done",$H246&lt;&gt;"Cancelled",$J246&lt;TODAY()),"OVERDUE","")</f>
        <v/>
      </c>
      <c r="N246" s="25"/>
      <c r="O246" s="26"/>
      <c r="P246" s="25"/>
    </row>
    <row r="247" customFormat="false" ht="15" hidden="false" customHeight="false" outlineLevel="0" collapsed="false">
      <c r="A247" s="25"/>
      <c r="B247" s="25"/>
      <c r="C247" s="29" t="str">
        <f aca="false">IF($B247="","",IFERROR(INDEX(Projects!$B$5:$B$204,MATCH($B247,Projects!$A$5:$A$204,0)),"Unknown project ID"))</f>
        <v/>
      </c>
      <c r="D247" s="25"/>
      <c r="E247" s="25"/>
      <c r="F247" s="25"/>
      <c r="G247" s="25"/>
      <c r="H247" s="25"/>
      <c r="I247" s="26"/>
      <c r="J247" s="26"/>
      <c r="K247" s="26"/>
      <c r="L247" s="30" t="str">
        <f aca="true">IF(OR($J247="",$H247="Done",$H247="Cancelled"),"",$J247-TODAY())</f>
        <v/>
      </c>
      <c r="M247" s="29" t="str">
        <f aca="true">IF(AND($J247&lt;&gt;"",$H247&lt;&gt;"Done",$H247&lt;&gt;"Cancelled",$J247&lt;TODAY()),"OVERDUE","")</f>
        <v/>
      </c>
      <c r="N247" s="25"/>
      <c r="O247" s="26"/>
      <c r="P247" s="25"/>
    </row>
    <row r="248" customFormat="false" ht="15" hidden="false" customHeight="false" outlineLevel="0" collapsed="false">
      <c r="A248" s="25"/>
      <c r="B248" s="25"/>
      <c r="C248" s="29" t="str">
        <f aca="false">IF($B248="","",IFERROR(INDEX(Projects!$B$5:$B$204,MATCH($B248,Projects!$A$5:$A$204,0)),"Unknown project ID"))</f>
        <v/>
      </c>
      <c r="D248" s="25"/>
      <c r="E248" s="25"/>
      <c r="F248" s="25"/>
      <c r="G248" s="25"/>
      <c r="H248" s="25"/>
      <c r="I248" s="26"/>
      <c r="J248" s="26"/>
      <c r="K248" s="26"/>
      <c r="L248" s="30" t="str">
        <f aca="true">IF(OR($J248="",$H248="Done",$H248="Cancelled"),"",$J248-TODAY())</f>
        <v/>
      </c>
      <c r="M248" s="29" t="str">
        <f aca="true">IF(AND($J248&lt;&gt;"",$H248&lt;&gt;"Done",$H248&lt;&gt;"Cancelled",$J248&lt;TODAY()),"OVERDUE","")</f>
        <v/>
      </c>
      <c r="N248" s="25"/>
      <c r="O248" s="26"/>
      <c r="P248" s="25"/>
    </row>
    <row r="249" customFormat="false" ht="15" hidden="false" customHeight="false" outlineLevel="0" collapsed="false">
      <c r="A249" s="25"/>
      <c r="B249" s="25"/>
      <c r="C249" s="29" t="str">
        <f aca="false">IF($B249="","",IFERROR(INDEX(Projects!$B$5:$B$204,MATCH($B249,Projects!$A$5:$A$204,0)),"Unknown project ID"))</f>
        <v/>
      </c>
      <c r="D249" s="25"/>
      <c r="E249" s="25"/>
      <c r="F249" s="25"/>
      <c r="G249" s="25"/>
      <c r="H249" s="25"/>
      <c r="I249" s="26"/>
      <c r="J249" s="26"/>
      <c r="K249" s="26"/>
      <c r="L249" s="30" t="str">
        <f aca="true">IF(OR($J249="",$H249="Done",$H249="Cancelled"),"",$J249-TODAY())</f>
        <v/>
      </c>
      <c r="M249" s="29" t="str">
        <f aca="true">IF(AND($J249&lt;&gt;"",$H249&lt;&gt;"Done",$H249&lt;&gt;"Cancelled",$J249&lt;TODAY()),"OVERDUE","")</f>
        <v/>
      </c>
      <c r="N249" s="25"/>
      <c r="O249" s="26"/>
      <c r="P249" s="25"/>
    </row>
    <row r="250" customFormat="false" ht="15" hidden="false" customHeight="false" outlineLevel="0" collapsed="false">
      <c r="A250" s="25"/>
      <c r="B250" s="25"/>
      <c r="C250" s="29" t="str">
        <f aca="false">IF($B250="","",IFERROR(INDEX(Projects!$B$5:$B$204,MATCH($B250,Projects!$A$5:$A$204,0)),"Unknown project ID"))</f>
        <v/>
      </c>
      <c r="D250" s="25"/>
      <c r="E250" s="25"/>
      <c r="F250" s="25"/>
      <c r="G250" s="25"/>
      <c r="H250" s="25"/>
      <c r="I250" s="26"/>
      <c r="J250" s="26"/>
      <c r="K250" s="26"/>
      <c r="L250" s="30" t="str">
        <f aca="true">IF(OR($J250="",$H250="Done",$H250="Cancelled"),"",$J250-TODAY())</f>
        <v/>
      </c>
      <c r="M250" s="29" t="str">
        <f aca="true">IF(AND($J250&lt;&gt;"",$H250&lt;&gt;"Done",$H250&lt;&gt;"Cancelled",$J250&lt;TODAY()),"OVERDUE","")</f>
        <v/>
      </c>
      <c r="N250" s="25"/>
      <c r="O250" s="26"/>
      <c r="P250" s="25"/>
    </row>
    <row r="251" customFormat="false" ht="15" hidden="false" customHeight="false" outlineLevel="0" collapsed="false">
      <c r="A251" s="25"/>
      <c r="B251" s="25"/>
      <c r="C251" s="29" t="str">
        <f aca="false">IF($B251="","",IFERROR(INDEX(Projects!$B$5:$B$204,MATCH($B251,Projects!$A$5:$A$204,0)),"Unknown project ID"))</f>
        <v/>
      </c>
      <c r="D251" s="25"/>
      <c r="E251" s="25"/>
      <c r="F251" s="25"/>
      <c r="G251" s="25"/>
      <c r="H251" s="25"/>
      <c r="I251" s="26"/>
      <c r="J251" s="26"/>
      <c r="K251" s="26"/>
      <c r="L251" s="30" t="str">
        <f aca="true">IF(OR($J251="",$H251="Done",$H251="Cancelled"),"",$J251-TODAY())</f>
        <v/>
      </c>
      <c r="M251" s="29" t="str">
        <f aca="true">IF(AND($J251&lt;&gt;"",$H251&lt;&gt;"Done",$H251&lt;&gt;"Cancelled",$J251&lt;TODAY()),"OVERDUE","")</f>
        <v/>
      </c>
      <c r="N251" s="25"/>
      <c r="O251" s="26"/>
      <c r="P251" s="25"/>
    </row>
    <row r="252" customFormat="false" ht="15" hidden="false" customHeight="false" outlineLevel="0" collapsed="false">
      <c r="A252" s="25"/>
      <c r="B252" s="25"/>
      <c r="C252" s="29" t="str">
        <f aca="false">IF($B252="","",IFERROR(INDEX(Projects!$B$5:$B$204,MATCH($B252,Projects!$A$5:$A$204,0)),"Unknown project ID"))</f>
        <v/>
      </c>
      <c r="D252" s="25"/>
      <c r="E252" s="25"/>
      <c r="F252" s="25"/>
      <c r="G252" s="25"/>
      <c r="H252" s="25"/>
      <c r="I252" s="26"/>
      <c r="J252" s="26"/>
      <c r="K252" s="26"/>
      <c r="L252" s="30" t="str">
        <f aca="true">IF(OR($J252="",$H252="Done",$H252="Cancelled"),"",$J252-TODAY())</f>
        <v/>
      </c>
      <c r="M252" s="29" t="str">
        <f aca="true">IF(AND($J252&lt;&gt;"",$H252&lt;&gt;"Done",$H252&lt;&gt;"Cancelled",$J252&lt;TODAY()),"OVERDUE","")</f>
        <v/>
      </c>
      <c r="N252" s="25"/>
      <c r="O252" s="26"/>
      <c r="P252" s="25"/>
    </row>
    <row r="253" customFormat="false" ht="15" hidden="false" customHeight="false" outlineLevel="0" collapsed="false">
      <c r="A253" s="25"/>
      <c r="B253" s="25"/>
      <c r="C253" s="29" t="str">
        <f aca="false">IF($B253="","",IFERROR(INDEX(Projects!$B$5:$B$204,MATCH($B253,Projects!$A$5:$A$204,0)),"Unknown project ID"))</f>
        <v/>
      </c>
      <c r="D253" s="25"/>
      <c r="E253" s="25"/>
      <c r="F253" s="25"/>
      <c r="G253" s="25"/>
      <c r="H253" s="25"/>
      <c r="I253" s="26"/>
      <c r="J253" s="26"/>
      <c r="K253" s="26"/>
      <c r="L253" s="30" t="str">
        <f aca="true">IF(OR($J253="",$H253="Done",$H253="Cancelled"),"",$J253-TODAY())</f>
        <v/>
      </c>
      <c r="M253" s="29" t="str">
        <f aca="true">IF(AND($J253&lt;&gt;"",$H253&lt;&gt;"Done",$H253&lt;&gt;"Cancelled",$J253&lt;TODAY()),"OVERDUE","")</f>
        <v/>
      </c>
      <c r="N253" s="25"/>
      <c r="O253" s="26"/>
      <c r="P253" s="25"/>
    </row>
    <row r="254" customFormat="false" ht="15" hidden="false" customHeight="false" outlineLevel="0" collapsed="false">
      <c r="A254" s="25"/>
      <c r="B254" s="25"/>
      <c r="C254" s="29" t="str">
        <f aca="false">IF($B254="","",IFERROR(INDEX(Projects!$B$5:$B$204,MATCH($B254,Projects!$A$5:$A$204,0)),"Unknown project ID"))</f>
        <v/>
      </c>
      <c r="D254" s="25"/>
      <c r="E254" s="25"/>
      <c r="F254" s="25"/>
      <c r="G254" s="25"/>
      <c r="H254" s="25"/>
      <c r="I254" s="26"/>
      <c r="J254" s="26"/>
      <c r="K254" s="26"/>
      <c r="L254" s="30" t="str">
        <f aca="true">IF(OR($J254="",$H254="Done",$H254="Cancelled"),"",$J254-TODAY())</f>
        <v/>
      </c>
      <c r="M254" s="29" t="str">
        <f aca="true">IF(AND($J254&lt;&gt;"",$H254&lt;&gt;"Done",$H254&lt;&gt;"Cancelled",$J254&lt;TODAY()),"OVERDUE","")</f>
        <v/>
      </c>
      <c r="N254" s="25"/>
      <c r="O254" s="26"/>
      <c r="P254" s="25"/>
    </row>
    <row r="255" customFormat="false" ht="15" hidden="false" customHeight="false" outlineLevel="0" collapsed="false">
      <c r="A255" s="25"/>
      <c r="B255" s="25"/>
      <c r="C255" s="29" t="str">
        <f aca="false">IF($B255="","",IFERROR(INDEX(Projects!$B$5:$B$204,MATCH($B255,Projects!$A$5:$A$204,0)),"Unknown project ID"))</f>
        <v/>
      </c>
      <c r="D255" s="25"/>
      <c r="E255" s="25"/>
      <c r="F255" s="25"/>
      <c r="G255" s="25"/>
      <c r="H255" s="25"/>
      <c r="I255" s="26"/>
      <c r="J255" s="26"/>
      <c r="K255" s="26"/>
      <c r="L255" s="30" t="str">
        <f aca="true">IF(OR($J255="",$H255="Done",$H255="Cancelled"),"",$J255-TODAY())</f>
        <v/>
      </c>
      <c r="M255" s="29" t="str">
        <f aca="true">IF(AND($J255&lt;&gt;"",$H255&lt;&gt;"Done",$H255&lt;&gt;"Cancelled",$J255&lt;TODAY()),"OVERDUE","")</f>
        <v/>
      </c>
      <c r="N255" s="25"/>
      <c r="O255" s="26"/>
      <c r="P255" s="25"/>
    </row>
    <row r="256" customFormat="false" ht="15" hidden="false" customHeight="false" outlineLevel="0" collapsed="false">
      <c r="A256" s="25"/>
      <c r="B256" s="25"/>
      <c r="C256" s="29" t="str">
        <f aca="false">IF($B256="","",IFERROR(INDEX(Projects!$B$5:$B$204,MATCH($B256,Projects!$A$5:$A$204,0)),"Unknown project ID"))</f>
        <v/>
      </c>
      <c r="D256" s="25"/>
      <c r="E256" s="25"/>
      <c r="F256" s="25"/>
      <c r="G256" s="25"/>
      <c r="H256" s="25"/>
      <c r="I256" s="26"/>
      <c r="J256" s="26"/>
      <c r="K256" s="26"/>
      <c r="L256" s="30" t="str">
        <f aca="true">IF(OR($J256="",$H256="Done",$H256="Cancelled"),"",$J256-TODAY())</f>
        <v/>
      </c>
      <c r="M256" s="29" t="str">
        <f aca="true">IF(AND($J256&lt;&gt;"",$H256&lt;&gt;"Done",$H256&lt;&gt;"Cancelled",$J256&lt;TODAY()),"OVERDUE","")</f>
        <v/>
      </c>
      <c r="N256" s="25"/>
      <c r="O256" s="26"/>
      <c r="P256" s="25"/>
    </row>
    <row r="257" customFormat="false" ht="15" hidden="false" customHeight="false" outlineLevel="0" collapsed="false">
      <c r="A257" s="25"/>
      <c r="B257" s="25"/>
      <c r="C257" s="29" t="str">
        <f aca="false">IF($B257="","",IFERROR(INDEX(Projects!$B$5:$B$204,MATCH($B257,Projects!$A$5:$A$204,0)),"Unknown project ID"))</f>
        <v/>
      </c>
      <c r="D257" s="25"/>
      <c r="E257" s="25"/>
      <c r="F257" s="25"/>
      <c r="G257" s="25"/>
      <c r="H257" s="25"/>
      <c r="I257" s="26"/>
      <c r="J257" s="26"/>
      <c r="K257" s="26"/>
      <c r="L257" s="30" t="str">
        <f aca="true">IF(OR($J257="",$H257="Done",$H257="Cancelled"),"",$J257-TODAY())</f>
        <v/>
      </c>
      <c r="M257" s="29" t="str">
        <f aca="true">IF(AND($J257&lt;&gt;"",$H257&lt;&gt;"Done",$H257&lt;&gt;"Cancelled",$J257&lt;TODAY()),"OVERDUE","")</f>
        <v/>
      </c>
      <c r="N257" s="25"/>
      <c r="O257" s="26"/>
      <c r="P257" s="25"/>
    </row>
    <row r="258" customFormat="false" ht="15" hidden="false" customHeight="false" outlineLevel="0" collapsed="false">
      <c r="A258" s="25"/>
      <c r="B258" s="25"/>
      <c r="C258" s="29" t="str">
        <f aca="false">IF($B258="","",IFERROR(INDEX(Projects!$B$5:$B$204,MATCH($B258,Projects!$A$5:$A$204,0)),"Unknown project ID"))</f>
        <v/>
      </c>
      <c r="D258" s="25"/>
      <c r="E258" s="25"/>
      <c r="F258" s="25"/>
      <c r="G258" s="25"/>
      <c r="H258" s="25"/>
      <c r="I258" s="26"/>
      <c r="J258" s="26"/>
      <c r="K258" s="26"/>
      <c r="L258" s="30" t="str">
        <f aca="true">IF(OR($J258="",$H258="Done",$H258="Cancelled"),"",$J258-TODAY())</f>
        <v/>
      </c>
      <c r="M258" s="29" t="str">
        <f aca="true">IF(AND($J258&lt;&gt;"",$H258&lt;&gt;"Done",$H258&lt;&gt;"Cancelled",$J258&lt;TODAY()),"OVERDUE","")</f>
        <v/>
      </c>
      <c r="N258" s="25"/>
      <c r="O258" s="26"/>
      <c r="P258" s="25"/>
    </row>
    <row r="259" customFormat="false" ht="15" hidden="false" customHeight="false" outlineLevel="0" collapsed="false">
      <c r="A259" s="25"/>
      <c r="B259" s="25"/>
      <c r="C259" s="29" t="str">
        <f aca="false">IF($B259="","",IFERROR(INDEX(Projects!$B$5:$B$204,MATCH($B259,Projects!$A$5:$A$204,0)),"Unknown project ID"))</f>
        <v/>
      </c>
      <c r="D259" s="25"/>
      <c r="E259" s="25"/>
      <c r="F259" s="25"/>
      <c r="G259" s="25"/>
      <c r="H259" s="25"/>
      <c r="I259" s="26"/>
      <c r="J259" s="26"/>
      <c r="K259" s="26"/>
      <c r="L259" s="30" t="str">
        <f aca="true">IF(OR($J259="",$H259="Done",$H259="Cancelled"),"",$J259-TODAY())</f>
        <v/>
      </c>
      <c r="M259" s="29" t="str">
        <f aca="true">IF(AND($J259&lt;&gt;"",$H259&lt;&gt;"Done",$H259&lt;&gt;"Cancelled",$J259&lt;TODAY()),"OVERDUE","")</f>
        <v/>
      </c>
      <c r="N259" s="25"/>
      <c r="O259" s="26"/>
      <c r="P259" s="25"/>
    </row>
    <row r="260" customFormat="false" ht="15" hidden="false" customHeight="false" outlineLevel="0" collapsed="false">
      <c r="A260" s="25"/>
      <c r="B260" s="25"/>
      <c r="C260" s="29" t="str">
        <f aca="false">IF($B260="","",IFERROR(INDEX(Projects!$B$5:$B$204,MATCH($B260,Projects!$A$5:$A$204,0)),"Unknown project ID"))</f>
        <v/>
      </c>
      <c r="D260" s="25"/>
      <c r="E260" s="25"/>
      <c r="F260" s="25"/>
      <c r="G260" s="25"/>
      <c r="H260" s="25"/>
      <c r="I260" s="26"/>
      <c r="J260" s="26"/>
      <c r="K260" s="26"/>
      <c r="L260" s="30" t="str">
        <f aca="true">IF(OR($J260="",$H260="Done",$H260="Cancelled"),"",$J260-TODAY())</f>
        <v/>
      </c>
      <c r="M260" s="29" t="str">
        <f aca="true">IF(AND($J260&lt;&gt;"",$H260&lt;&gt;"Done",$H260&lt;&gt;"Cancelled",$J260&lt;TODAY()),"OVERDUE","")</f>
        <v/>
      </c>
      <c r="N260" s="25"/>
      <c r="O260" s="26"/>
      <c r="P260" s="25"/>
    </row>
    <row r="261" customFormat="false" ht="15" hidden="false" customHeight="false" outlineLevel="0" collapsed="false">
      <c r="A261" s="25"/>
      <c r="B261" s="25"/>
      <c r="C261" s="29" t="str">
        <f aca="false">IF($B261="","",IFERROR(INDEX(Projects!$B$5:$B$204,MATCH($B261,Projects!$A$5:$A$204,0)),"Unknown project ID"))</f>
        <v/>
      </c>
      <c r="D261" s="25"/>
      <c r="E261" s="25"/>
      <c r="F261" s="25"/>
      <c r="G261" s="25"/>
      <c r="H261" s="25"/>
      <c r="I261" s="26"/>
      <c r="J261" s="26"/>
      <c r="K261" s="26"/>
      <c r="L261" s="30" t="str">
        <f aca="true">IF(OR($J261="",$H261="Done",$H261="Cancelled"),"",$J261-TODAY())</f>
        <v/>
      </c>
      <c r="M261" s="29" t="str">
        <f aca="true">IF(AND($J261&lt;&gt;"",$H261&lt;&gt;"Done",$H261&lt;&gt;"Cancelled",$J261&lt;TODAY()),"OVERDUE","")</f>
        <v/>
      </c>
      <c r="N261" s="25"/>
      <c r="O261" s="26"/>
      <c r="P261" s="25"/>
    </row>
    <row r="262" customFormat="false" ht="15" hidden="false" customHeight="false" outlineLevel="0" collapsed="false">
      <c r="A262" s="25"/>
      <c r="B262" s="25"/>
      <c r="C262" s="29" t="str">
        <f aca="false">IF($B262="","",IFERROR(INDEX(Projects!$B$5:$B$204,MATCH($B262,Projects!$A$5:$A$204,0)),"Unknown project ID"))</f>
        <v/>
      </c>
      <c r="D262" s="25"/>
      <c r="E262" s="25"/>
      <c r="F262" s="25"/>
      <c r="G262" s="25"/>
      <c r="H262" s="25"/>
      <c r="I262" s="26"/>
      <c r="J262" s="26"/>
      <c r="K262" s="26"/>
      <c r="L262" s="30" t="str">
        <f aca="true">IF(OR($J262="",$H262="Done",$H262="Cancelled"),"",$J262-TODAY())</f>
        <v/>
      </c>
      <c r="M262" s="29" t="str">
        <f aca="true">IF(AND($J262&lt;&gt;"",$H262&lt;&gt;"Done",$H262&lt;&gt;"Cancelled",$J262&lt;TODAY()),"OVERDUE","")</f>
        <v/>
      </c>
      <c r="N262" s="25"/>
      <c r="O262" s="26"/>
      <c r="P262" s="25"/>
    </row>
    <row r="263" customFormat="false" ht="15" hidden="false" customHeight="false" outlineLevel="0" collapsed="false">
      <c r="A263" s="25"/>
      <c r="B263" s="25"/>
      <c r="C263" s="29" t="str">
        <f aca="false">IF($B263="","",IFERROR(INDEX(Projects!$B$5:$B$204,MATCH($B263,Projects!$A$5:$A$204,0)),"Unknown project ID"))</f>
        <v/>
      </c>
      <c r="D263" s="25"/>
      <c r="E263" s="25"/>
      <c r="F263" s="25"/>
      <c r="G263" s="25"/>
      <c r="H263" s="25"/>
      <c r="I263" s="26"/>
      <c r="J263" s="26"/>
      <c r="K263" s="26"/>
      <c r="L263" s="30" t="str">
        <f aca="true">IF(OR($J263="",$H263="Done",$H263="Cancelled"),"",$J263-TODAY())</f>
        <v/>
      </c>
      <c r="M263" s="29" t="str">
        <f aca="true">IF(AND($J263&lt;&gt;"",$H263&lt;&gt;"Done",$H263&lt;&gt;"Cancelled",$J263&lt;TODAY()),"OVERDUE","")</f>
        <v/>
      </c>
      <c r="N263" s="25"/>
      <c r="O263" s="26"/>
      <c r="P263" s="25"/>
    </row>
    <row r="264" customFormat="false" ht="15" hidden="false" customHeight="false" outlineLevel="0" collapsed="false">
      <c r="A264" s="25"/>
      <c r="B264" s="25"/>
      <c r="C264" s="29" t="str">
        <f aca="false">IF($B264="","",IFERROR(INDEX(Projects!$B$5:$B$204,MATCH($B264,Projects!$A$5:$A$204,0)),"Unknown project ID"))</f>
        <v/>
      </c>
      <c r="D264" s="25"/>
      <c r="E264" s="25"/>
      <c r="F264" s="25"/>
      <c r="G264" s="25"/>
      <c r="H264" s="25"/>
      <c r="I264" s="26"/>
      <c r="J264" s="26"/>
      <c r="K264" s="26"/>
      <c r="L264" s="30" t="str">
        <f aca="true">IF(OR($J264="",$H264="Done",$H264="Cancelled"),"",$J264-TODAY())</f>
        <v/>
      </c>
      <c r="M264" s="29" t="str">
        <f aca="true">IF(AND($J264&lt;&gt;"",$H264&lt;&gt;"Done",$H264&lt;&gt;"Cancelled",$J264&lt;TODAY()),"OVERDUE","")</f>
        <v/>
      </c>
      <c r="N264" s="25"/>
      <c r="O264" s="26"/>
      <c r="P264" s="25"/>
    </row>
    <row r="265" customFormat="false" ht="15" hidden="false" customHeight="false" outlineLevel="0" collapsed="false">
      <c r="A265" s="25"/>
      <c r="B265" s="25"/>
      <c r="C265" s="29" t="str">
        <f aca="false">IF($B265="","",IFERROR(INDEX(Projects!$B$5:$B$204,MATCH($B265,Projects!$A$5:$A$204,0)),"Unknown project ID"))</f>
        <v/>
      </c>
      <c r="D265" s="25"/>
      <c r="E265" s="25"/>
      <c r="F265" s="25"/>
      <c r="G265" s="25"/>
      <c r="H265" s="25"/>
      <c r="I265" s="26"/>
      <c r="J265" s="26"/>
      <c r="K265" s="26"/>
      <c r="L265" s="30" t="str">
        <f aca="true">IF(OR($J265="",$H265="Done",$H265="Cancelled"),"",$J265-TODAY())</f>
        <v/>
      </c>
      <c r="M265" s="29" t="str">
        <f aca="true">IF(AND($J265&lt;&gt;"",$H265&lt;&gt;"Done",$H265&lt;&gt;"Cancelled",$J265&lt;TODAY()),"OVERDUE","")</f>
        <v/>
      </c>
      <c r="N265" s="25"/>
      <c r="O265" s="26"/>
      <c r="P265" s="25"/>
    </row>
    <row r="266" customFormat="false" ht="15" hidden="false" customHeight="false" outlineLevel="0" collapsed="false">
      <c r="A266" s="25"/>
      <c r="B266" s="25"/>
      <c r="C266" s="29" t="str">
        <f aca="false">IF($B266="","",IFERROR(INDEX(Projects!$B$5:$B$204,MATCH($B266,Projects!$A$5:$A$204,0)),"Unknown project ID"))</f>
        <v/>
      </c>
      <c r="D266" s="25"/>
      <c r="E266" s="25"/>
      <c r="F266" s="25"/>
      <c r="G266" s="25"/>
      <c r="H266" s="25"/>
      <c r="I266" s="26"/>
      <c r="J266" s="26"/>
      <c r="K266" s="26"/>
      <c r="L266" s="30" t="str">
        <f aca="true">IF(OR($J266="",$H266="Done",$H266="Cancelled"),"",$J266-TODAY())</f>
        <v/>
      </c>
      <c r="M266" s="29" t="str">
        <f aca="true">IF(AND($J266&lt;&gt;"",$H266&lt;&gt;"Done",$H266&lt;&gt;"Cancelled",$J266&lt;TODAY()),"OVERDUE","")</f>
        <v/>
      </c>
      <c r="N266" s="25"/>
      <c r="O266" s="26"/>
      <c r="P266" s="25"/>
    </row>
    <row r="267" customFormat="false" ht="15" hidden="false" customHeight="false" outlineLevel="0" collapsed="false">
      <c r="A267" s="25"/>
      <c r="B267" s="25"/>
      <c r="C267" s="29" t="str">
        <f aca="false">IF($B267="","",IFERROR(INDEX(Projects!$B$5:$B$204,MATCH($B267,Projects!$A$5:$A$204,0)),"Unknown project ID"))</f>
        <v/>
      </c>
      <c r="D267" s="25"/>
      <c r="E267" s="25"/>
      <c r="F267" s="25"/>
      <c r="G267" s="25"/>
      <c r="H267" s="25"/>
      <c r="I267" s="26"/>
      <c r="J267" s="26"/>
      <c r="K267" s="26"/>
      <c r="L267" s="30" t="str">
        <f aca="true">IF(OR($J267="",$H267="Done",$H267="Cancelled"),"",$J267-TODAY())</f>
        <v/>
      </c>
      <c r="M267" s="29" t="str">
        <f aca="true">IF(AND($J267&lt;&gt;"",$H267&lt;&gt;"Done",$H267&lt;&gt;"Cancelled",$J267&lt;TODAY()),"OVERDUE","")</f>
        <v/>
      </c>
      <c r="N267" s="25"/>
      <c r="O267" s="26"/>
      <c r="P267" s="25"/>
    </row>
    <row r="268" customFormat="false" ht="15" hidden="false" customHeight="false" outlineLevel="0" collapsed="false">
      <c r="A268" s="25"/>
      <c r="B268" s="25"/>
      <c r="C268" s="29" t="str">
        <f aca="false">IF($B268="","",IFERROR(INDEX(Projects!$B$5:$B$204,MATCH($B268,Projects!$A$5:$A$204,0)),"Unknown project ID"))</f>
        <v/>
      </c>
      <c r="D268" s="25"/>
      <c r="E268" s="25"/>
      <c r="F268" s="25"/>
      <c r="G268" s="25"/>
      <c r="H268" s="25"/>
      <c r="I268" s="26"/>
      <c r="J268" s="26"/>
      <c r="K268" s="26"/>
      <c r="L268" s="30" t="str">
        <f aca="true">IF(OR($J268="",$H268="Done",$H268="Cancelled"),"",$J268-TODAY())</f>
        <v/>
      </c>
      <c r="M268" s="29" t="str">
        <f aca="true">IF(AND($J268&lt;&gt;"",$H268&lt;&gt;"Done",$H268&lt;&gt;"Cancelled",$J268&lt;TODAY()),"OVERDUE","")</f>
        <v/>
      </c>
      <c r="N268" s="25"/>
      <c r="O268" s="26"/>
      <c r="P268" s="25"/>
    </row>
    <row r="269" customFormat="false" ht="15" hidden="false" customHeight="false" outlineLevel="0" collapsed="false">
      <c r="A269" s="25"/>
      <c r="B269" s="25"/>
      <c r="C269" s="29" t="str">
        <f aca="false">IF($B269="","",IFERROR(INDEX(Projects!$B$5:$B$204,MATCH($B269,Projects!$A$5:$A$204,0)),"Unknown project ID"))</f>
        <v/>
      </c>
      <c r="D269" s="25"/>
      <c r="E269" s="25"/>
      <c r="F269" s="25"/>
      <c r="G269" s="25"/>
      <c r="H269" s="25"/>
      <c r="I269" s="26"/>
      <c r="J269" s="26"/>
      <c r="K269" s="26"/>
      <c r="L269" s="30" t="str">
        <f aca="true">IF(OR($J269="",$H269="Done",$H269="Cancelled"),"",$J269-TODAY())</f>
        <v/>
      </c>
      <c r="M269" s="29" t="str">
        <f aca="true">IF(AND($J269&lt;&gt;"",$H269&lt;&gt;"Done",$H269&lt;&gt;"Cancelled",$J269&lt;TODAY()),"OVERDUE","")</f>
        <v/>
      </c>
      <c r="N269" s="25"/>
      <c r="O269" s="26"/>
      <c r="P269" s="25"/>
    </row>
    <row r="270" customFormat="false" ht="15" hidden="false" customHeight="false" outlineLevel="0" collapsed="false">
      <c r="A270" s="25"/>
      <c r="B270" s="25"/>
      <c r="C270" s="29" t="str">
        <f aca="false">IF($B270="","",IFERROR(INDEX(Projects!$B$5:$B$204,MATCH($B270,Projects!$A$5:$A$204,0)),"Unknown project ID"))</f>
        <v/>
      </c>
      <c r="D270" s="25"/>
      <c r="E270" s="25"/>
      <c r="F270" s="25"/>
      <c r="G270" s="25"/>
      <c r="H270" s="25"/>
      <c r="I270" s="26"/>
      <c r="J270" s="26"/>
      <c r="K270" s="26"/>
      <c r="L270" s="30" t="str">
        <f aca="true">IF(OR($J270="",$H270="Done",$H270="Cancelled"),"",$J270-TODAY())</f>
        <v/>
      </c>
      <c r="M270" s="29" t="str">
        <f aca="true">IF(AND($J270&lt;&gt;"",$H270&lt;&gt;"Done",$H270&lt;&gt;"Cancelled",$J270&lt;TODAY()),"OVERDUE","")</f>
        <v/>
      </c>
      <c r="N270" s="25"/>
      <c r="O270" s="26"/>
      <c r="P270" s="25"/>
    </row>
    <row r="271" customFormat="false" ht="15" hidden="false" customHeight="false" outlineLevel="0" collapsed="false">
      <c r="A271" s="25"/>
      <c r="B271" s="25"/>
      <c r="C271" s="29" t="str">
        <f aca="false">IF($B271="","",IFERROR(INDEX(Projects!$B$5:$B$204,MATCH($B271,Projects!$A$5:$A$204,0)),"Unknown project ID"))</f>
        <v/>
      </c>
      <c r="D271" s="25"/>
      <c r="E271" s="25"/>
      <c r="F271" s="25"/>
      <c r="G271" s="25"/>
      <c r="H271" s="25"/>
      <c r="I271" s="26"/>
      <c r="J271" s="26"/>
      <c r="K271" s="26"/>
      <c r="L271" s="30" t="str">
        <f aca="true">IF(OR($J271="",$H271="Done",$H271="Cancelled"),"",$J271-TODAY())</f>
        <v/>
      </c>
      <c r="M271" s="29" t="str">
        <f aca="true">IF(AND($J271&lt;&gt;"",$H271&lt;&gt;"Done",$H271&lt;&gt;"Cancelled",$J271&lt;TODAY()),"OVERDUE","")</f>
        <v/>
      </c>
      <c r="N271" s="25"/>
      <c r="O271" s="26"/>
      <c r="P271" s="25"/>
    </row>
    <row r="272" customFormat="false" ht="15" hidden="false" customHeight="false" outlineLevel="0" collapsed="false">
      <c r="A272" s="25"/>
      <c r="B272" s="25"/>
      <c r="C272" s="29" t="str">
        <f aca="false">IF($B272="","",IFERROR(INDEX(Projects!$B$5:$B$204,MATCH($B272,Projects!$A$5:$A$204,0)),"Unknown project ID"))</f>
        <v/>
      </c>
      <c r="D272" s="25"/>
      <c r="E272" s="25"/>
      <c r="F272" s="25"/>
      <c r="G272" s="25"/>
      <c r="H272" s="25"/>
      <c r="I272" s="26"/>
      <c r="J272" s="26"/>
      <c r="K272" s="26"/>
      <c r="L272" s="30" t="str">
        <f aca="true">IF(OR($J272="",$H272="Done",$H272="Cancelled"),"",$J272-TODAY())</f>
        <v/>
      </c>
      <c r="M272" s="29" t="str">
        <f aca="true">IF(AND($J272&lt;&gt;"",$H272&lt;&gt;"Done",$H272&lt;&gt;"Cancelled",$J272&lt;TODAY()),"OVERDUE","")</f>
        <v/>
      </c>
      <c r="N272" s="25"/>
      <c r="O272" s="26"/>
      <c r="P272" s="25"/>
    </row>
    <row r="273" customFormat="false" ht="15" hidden="false" customHeight="false" outlineLevel="0" collapsed="false">
      <c r="A273" s="25"/>
      <c r="B273" s="25"/>
      <c r="C273" s="29" t="str">
        <f aca="false">IF($B273="","",IFERROR(INDEX(Projects!$B$5:$B$204,MATCH($B273,Projects!$A$5:$A$204,0)),"Unknown project ID"))</f>
        <v/>
      </c>
      <c r="D273" s="25"/>
      <c r="E273" s="25"/>
      <c r="F273" s="25"/>
      <c r="G273" s="25"/>
      <c r="H273" s="25"/>
      <c r="I273" s="26"/>
      <c r="J273" s="26"/>
      <c r="K273" s="26"/>
      <c r="L273" s="30" t="str">
        <f aca="true">IF(OR($J273="",$H273="Done",$H273="Cancelled"),"",$J273-TODAY())</f>
        <v/>
      </c>
      <c r="M273" s="29" t="str">
        <f aca="true">IF(AND($J273&lt;&gt;"",$H273&lt;&gt;"Done",$H273&lt;&gt;"Cancelled",$J273&lt;TODAY()),"OVERDUE","")</f>
        <v/>
      </c>
      <c r="N273" s="25"/>
      <c r="O273" s="26"/>
      <c r="P273" s="25"/>
    </row>
    <row r="274" customFormat="false" ht="15" hidden="false" customHeight="false" outlineLevel="0" collapsed="false">
      <c r="A274" s="25"/>
      <c r="B274" s="25"/>
      <c r="C274" s="29" t="str">
        <f aca="false">IF($B274="","",IFERROR(INDEX(Projects!$B$5:$B$204,MATCH($B274,Projects!$A$5:$A$204,0)),"Unknown project ID"))</f>
        <v/>
      </c>
      <c r="D274" s="25"/>
      <c r="E274" s="25"/>
      <c r="F274" s="25"/>
      <c r="G274" s="25"/>
      <c r="H274" s="25"/>
      <c r="I274" s="26"/>
      <c r="J274" s="26"/>
      <c r="K274" s="26"/>
      <c r="L274" s="30" t="str">
        <f aca="true">IF(OR($J274="",$H274="Done",$H274="Cancelled"),"",$J274-TODAY())</f>
        <v/>
      </c>
      <c r="M274" s="29" t="str">
        <f aca="true">IF(AND($J274&lt;&gt;"",$H274&lt;&gt;"Done",$H274&lt;&gt;"Cancelled",$J274&lt;TODAY()),"OVERDUE","")</f>
        <v/>
      </c>
      <c r="N274" s="25"/>
      <c r="O274" s="26"/>
      <c r="P274" s="25"/>
    </row>
    <row r="275" customFormat="false" ht="15" hidden="false" customHeight="false" outlineLevel="0" collapsed="false">
      <c r="A275" s="25"/>
      <c r="B275" s="25"/>
      <c r="C275" s="29" t="str">
        <f aca="false">IF($B275="","",IFERROR(INDEX(Projects!$B$5:$B$204,MATCH($B275,Projects!$A$5:$A$204,0)),"Unknown project ID"))</f>
        <v/>
      </c>
      <c r="D275" s="25"/>
      <c r="E275" s="25"/>
      <c r="F275" s="25"/>
      <c r="G275" s="25"/>
      <c r="H275" s="25"/>
      <c r="I275" s="26"/>
      <c r="J275" s="26"/>
      <c r="K275" s="26"/>
      <c r="L275" s="30" t="str">
        <f aca="true">IF(OR($J275="",$H275="Done",$H275="Cancelled"),"",$J275-TODAY())</f>
        <v/>
      </c>
      <c r="M275" s="29" t="str">
        <f aca="true">IF(AND($J275&lt;&gt;"",$H275&lt;&gt;"Done",$H275&lt;&gt;"Cancelled",$J275&lt;TODAY()),"OVERDUE","")</f>
        <v/>
      </c>
      <c r="N275" s="25"/>
      <c r="O275" s="26"/>
      <c r="P275" s="25"/>
    </row>
    <row r="276" customFormat="false" ht="15" hidden="false" customHeight="false" outlineLevel="0" collapsed="false">
      <c r="A276" s="25"/>
      <c r="B276" s="25"/>
      <c r="C276" s="29" t="str">
        <f aca="false">IF($B276="","",IFERROR(INDEX(Projects!$B$5:$B$204,MATCH($B276,Projects!$A$5:$A$204,0)),"Unknown project ID"))</f>
        <v/>
      </c>
      <c r="D276" s="25"/>
      <c r="E276" s="25"/>
      <c r="F276" s="25"/>
      <c r="G276" s="25"/>
      <c r="H276" s="25"/>
      <c r="I276" s="26"/>
      <c r="J276" s="26"/>
      <c r="K276" s="26"/>
      <c r="L276" s="30" t="str">
        <f aca="true">IF(OR($J276="",$H276="Done",$H276="Cancelled"),"",$J276-TODAY())</f>
        <v/>
      </c>
      <c r="M276" s="29" t="str">
        <f aca="true">IF(AND($J276&lt;&gt;"",$H276&lt;&gt;"Done",$H276&lt;&gt;"Cancelled",$J276&lt;TODAY()),"OVERDUE","")</f>
        <v/>
      </c>
      <c r="N276" s="25"/>
      <c r="O276" s="26"/>
      <c r="P276" s="25"/>
    </row>
    <row r="277" customFormat="false" ht="15" hidden="false" customHeight="false" outlineLevel="0" collapsed="false">
      <c r="A277" s="25"/>
      <c r="B277" s="25"/>
      <c r="C277" s="29" t="str">
        <f aca="false">IF($B277="","",IFERROR(INDEX(Projects!$B$5:$B$204,MATCH($B277,Projects!$A$5:$A$204,0)),"Unknown project ID"))</f>
        <v/>
      </c>
      <c r="D277" s="25"/>
      <c r="E277" s="25"/>
      <c r="F277" s="25"/>
      <c r="G277" s="25"/>
      <c r="H277" s="25"/>
      <c r="I277" s="26"/>
      <c r="J277" s="26"/>
      <c r="K277" s="26"/>
      <c r="L277" s="30" t="str">
        <f aca="true">IF(OR($J277="",$H277="Done",$H277="Cancelled"),"",$J277-TODAY())</f>
        <v/>
      </c>
      <c r="M277" s="29" t="str">
        <f aca="true">IF(AND($J277&lt;&gt;"",$H277&lt;&gt;"Done",$H277&lt;&gt;"Cancelled",$J277&lt;TODAY()),"OVERDUE","")</f>
        <v/>
      </c>
      <c r="N277" s="25"/>
      <c r="O277" s="26"/>
      <c r="P277" s="25"/>
    </row>
    <row r="278" customFormat="false" ht="15" hidden="false" customHeight="false" outlineLevel="0" collapsed="false">
      <c r="A278" s="25"/>
      <c r="B278" s="25"/>
      <c r="C278" s="29" t="str">
        <f aca="false">IF($B278="","",IFERROR(INDEX(Projects!$B$5:$B$204,MATCH($B278,Projects!$A$5:$A$204,0)),"Unknown project ID"))</f>
        <v/>
      </c>
      <c r="D278" s="25"/>
      <c r="E278" s="25"/>
      <c r="F278" s="25"/>
      <c r="G278" s="25"/>
      <c r="H278" s="25"/>
      <c r="I278" s="26"/>
      <c r="J278" s="26"/>
      <c r="K278" s="26"/>
      <c r="L278" s="30" t="str">
        <f aca="true">IF(OR($J278="",$H278="Done",$H278="Cancelled"),"",$J278-TODAY())</f>
        <v/>
      </c>
      <c r="M278" s="29" t="str">
        <f aca="true">IF(AND($J278&lt;&gt;"",$H278&lt;&gt;"Done",$H278&lt;&gt;"Cancelled",$J278&lt;TODAY()),"OVERDUE","")</f>
        <v/>
      </c>
      <c r="N278" s="25"/>
      <c r="O278" s="26"/>
      <c r="P278" s="25"/>
    </row>
    <row r="279" customFormat="false" ht="15" hidden="false" customHeight="false" outlineLevel="0" collapsed="false">
      <c r="A279" s="25"/>
      <c r="B279" s="25"/>
      <c r="C279" s="29" t="str">
        <f aca="false">IF($B279="","",IFERROR(INDEX(Projects!$B$5:$B$204,MATCH($B279,Projects!$A$5:$A$204,0)),"Unknown project ID"))</f>
        <v/>
      </c>
      <c r="D279" s="25"/>
      <c r="E279" s="25"/>
      <c r="F279" s="25"/>
      <c r="G279" s="25"/>
      <c r="H279" s="25"/>
      <c r="I279" s="26"/>
      <c r="J279" s="26"/>
      <c r="K279" s="26"/>
      <c r="L279" s="30" t="str">
        <f aca="true">IF(OR($J279="",$H279="Done",$H279="Cancelled"),"",$J279-TODAY())</f>
        <v/>
      </c>
      <c r="M279" s="29" t="str">
        <f aca="true">IF(AND($J279&lt;&gt;"",$H279&lt;&gt;"Done",$H279&lt;&gt;"Cancelled",$J279&lt;TODAY()),"OVERDUE","")</f>
        <v/>
      </c>
      <c r="N279" s="25"/>
      <c r="O279" s="26"/>
      <c r="P279" s="25"/>
    </row>
    <row r="280" customFormat="false" ht="15" hidden="false" customHeight="false" outlineLevel="0" collapsed="false">
      <c r="A280" s="25"/>
      <c r="B280" s="25"/>
      <c r="C280" s="29" t="str">
        <f aca="false">IF($B280="","",IFERROR(INDEX(Projects!$B$5:$B$204,MATCH($B280,Projects!$A$5:$A$204,0)),"Unknown project ID"))</f>
        <v/>
      </c>
      <c r="D280" s="25"/>
      <c r="E280" s="25"/>
      <c r="F280" s="25"/>
      <c r="G280" s="25"/>
      <c r="H280" s="25"/>
      <c r="I280" s="26"/>
      <c r="J280" s="26"/>
      <c r="K280" s="26"/>
      <c r="L280" s="30" t="str">
        <f aca="true">IF(OR($J280="",$H280="Done",$H280="Cancelled"),"",$J280-TODAY())</f>
        <v/>
      </c>
      <c r="M280" s="29" t="str">
        <f aca="true">IF(AND($J280&lt;&gt;"",$H280&lt;&gt;"Done",$H280&lt;&gt;"Cancelled",$J280&lt;TODAY()),"OVERDUE","")</f>
        <v/>
      </c>
      <c r="N280" s="25"/>
      <c r="O280" s="26"/>
      <c r="P280" s="25"/>
    </row>
    <row r="281" customFormat="false" ht="15" hidden="false" customHeight="false" outlineLevel="0" collapsed="false">
      <c r="A281" s="25"/>
      <c r="B281" s="25"/>
      <c r="C281" s="29" t="str">
        <f aca="false">IF($B281="","",IFERROR(INDEX(Projects!$B$5:$B$204,MATCH($B281,Projects!$A$5:$A$204,0)),"Unknown project ID"))</f>
        <v/>
      </c>
      <c r="D281" s="25"/>
      <c r="E281" s="25"/>
      <c r="F281" s="25"/>
      <c r="G281" s="25"/>
      <c r="H281" s="25"/>
      <c r="I281" s="26"/>
      <c r="J281" s="26"/>
      <c r="K281" s="26"/>
      <c r="L281" s="30" t="str">
        <f aca="true">IF(OR($J281="",$H281="Done",$H281="Cancelled"),"",$J281-TODAY())</f>
        <v/>
      </c>
      <c r="M281" s="29" t="str">
        <f aca="true">IF(AND($J281&lt;&gt;"",$H281&lt;&gt;"Done",$H281&lt;&gt;"Cancelled",$J281&lt;TODAY()),"OVERDUE","")</f>
        <v/>
      </c>
      <c r="N281" s="25"/>
      <c r="O281" s="26"/>
      <c r="P281" s="25"/>
    </row>
    <row r="282" customFormat="false" ht="15" hidden="false" customHeight="false" outlineLevel="0" collapsed="false">
      <c r="A282" s="25"/>
      <c r="B282" s="25"/>
      <c r="C282" s="29" t="str">
        <f aca="false">IF($B282="","",IFERROR(INDEX(Projects!$B$5:$B$204,MATCH($B282,Projects!$A$5:$A$204,0)),"Unknown project ID"))</f>
        <v/>
      </c>
      <c r="D282" s="25"/>
      <c r="E282" s="25"/>
      <c r="F282" s="25"/>
      <c r="G282" s="25"/>
      <c r="H282" s="25"/>
      <c r="I282" s="26"/>
      <c r="J282" s="26"/>
      <c r="K282" s="26"/>
      <c r="L282" s="30" t="str">
        <f aca="true">IF(OR($J282="",$H282="Done",$H282="Cancelled"),"",$J282-TODAY())</f>
        <v/>
      </c>
      <c r="M282" s="29" t="str">
        <f aca="true">IF(AND($J282&lt;&gt;"",$H282&lt;&gt;"Done",$H282&lt;&gt;"Cancelled",$J282&lt;TODAY()),"OVERDUE","")</f>
        <v/>
      </c>
      <c r="N282" s="25"/>
      <c r="O282" s="26"/>
      <c r="P282" s="25"/>
    </row>
    <row r="283" customFormat="false" ht="15" hidden="false" customHeight="false" outlineLevel="0" collapsed="false">
      <c r="A283" s="25"/>
      <c r="B283" s="25"/>
      <c r="C283" s="29" t="str">
        <f aca="false">IF($B283="","",IFERROR(INDEX(Projects!$B$5:$B$204,MATCH($B283,Projects!$A$5:$A$204,0)),"Unknown project ID"))</f>
        <v/>
      </c>
      <c r="D283" s="25"/>
      <c r="E283" s="25"/>
      <c r="F283" s="25"/>
      <c r="G283" s="25"/>
      <c r="H283" s="25"/>
      <c r="I283" s="26"/>
      <c r="J283" s="26"/>
      <c r="K283" s="26"/>
      <c r="L283" s="30" t="str">
        <f aca="true">IF(OR($J283="",$H283="Done",$H283="Cancelled"),"",$J283-TODAY())</f>
        <v/>
      </c>
      <c r="M283" s="29" t="str">
        <f aca="true">IF(AND($J283&lt;&gt;"",$H283&lt;&gt;"Done",$H283&lt;&gt;"Cancelled",$J283&lt;TODAY()),"OVERDUE","")</f>
        <v/>
      </c>
      <c r="N283" s="25"/>
      <c r="O283" s="26"/>
      <c r="P283" s="25"/>
    </row>
    <row r="284" customFormat="false" ht="15" hidden="false" customHeight="false" outlineLevel="0" collapsed="false">
      <c r="A284" s="25"/>
      <c r="B284" s="25"/>
      <c r="C284" s="29" t="str">
        <f aca="false">IF($B284="","",IFERROR(INDEX(Projects!$B$5:$B$204,MATCH($B284,Projects!$A$5:$A$204,0)),"Unknown project ID"))</f>
        <v/>
      </c>
      <c r="D284" s="25"/>
      <c r="E284" s="25"/>
      <c r="F284" s="25"/>
      <c r="G284" s="25"/>
      <c r="H284" s="25"/>
      <c r="I284" s="26"/>
      <c r="J284" s="26"/>
      <c r="K284" s="26"/>
      <c r="L284" s="30" t="str">
        <f aca="true">IF(OR($J284="",$H284="Done",$H284="Cancelled"),"",$J284-TODAY())</f>
        <v/>
      </c>
      <c r="M284" s="29" t="str">
        <f aca="true">IF(AND($J284&lt;&gt;"",$H284&lt;&gt;"Done",$H284&lt;&gt;"Cancelled",$J284&lt;TODAY()),"OVERDUE","")</f>
        <v/>
      </c>
      <c r="N284" s="25"/>
      <c r="O284" s="26"/>
      <c r="P284" s="25"/>
    </row>
    <row r="285" customFormat="false" ht="15" hidden="false" customHeight="false" outlineLevel="0" collapsed="false">
      <c r="A285" s="25"/>
      <c r="B285" s="25"/>
      <c r="C285" s="29" t="str">
        <f aca="false">IF($B285="","",IFERROR(INDEX(Projects!$B$5:$B$204,MATCH($B285,Projects!$A$5:$A$204,0)),"Unknown project ID"))</f>
        <v/>
      </c>
      <c r="D285" s="25"/>
      <c r="E285" s="25"/>
      <c r="F285" s="25"/>
      <c r="G285" s="25"/>
      <c r="H285" s="25"/>
      <c r="I285" s="26"/>
      <c r="J285" s="26"/>
      <c r="K285" s="26"/>
      <c r="L285" s="30" t="str">
        <f aca="true">IF(OR($J285="",$H285="Done",$H285="Cancelled"),"",$J285-TODAY())</f>
        <v/>
      </c>
      <c r="M285" s="29" t="str">
        <f aca="true">IF(AND($J285&lt;&gt;"",$H285&lt;&gt;"Done",$H285&lt;&gt;"Cancelled",$J285&lt;TODAY()),"OVERDUE","")</f>
        <v/>
      </c>
      <c r="N285" s="25"/>
      <c r="O285" s="26"/>
      <c r="P285" s="25"/>
    </row>
    <row r="286" customFormat="false" ht="15" hidden="false" customHeight="false" outlineLevel="0" collapsed="false">
      <c r="A286" s="25"/>
      <c r="B286" s="25"/>
      <c r="C286" s="29" t="str">
        <f aca="false">IF($B286="","",IFERROR(INDEX(Projects!$B$5:$B$204,MATCH($B286,Projects!$A$5:$A$204,0)),"Unknown project ID"))</f>
        <v/>
      </c>
      <c r="D286" s="25"/>
      <c r="E286" s="25"/>
      <c r="F286" s="25"/>
      <c r="G286" s="25"/>
      <c r="H286" s="25"/>
      <c r="I286" s="26"/>
      <c r="J286" s="26"/>
      <c r="K286" s="26"/>
      <c r="L286" s="30" t="str">
        <f aca="true">IF(OR($J286="",$H286="Done",$H286="Cancelled"),"",$J286-TODAY())</f>
        <v/>
      </c>
      <c r="M286" s="29" t="str">
        <f aca="true">IF(AND($J286&lt;&gt;"",$H286&lt;&gt;"Done",$H286&lt;&gt;"Cancelled",$J286&lt;TODAY()),"OVERDUE","")</f>
        <v/>
      </c>
      <c r="N286" s="25"/>
      <c r="O286" s="26"/>
      <c r="P286" s="25"/>
    </row>
    <row r="287" customFormat="false" ht="15" hidden="false" customHeight="false" outlineLevel="0" collapsed="false">
      <c r="A287" s="25"/>
      <c r="B287" s="25"/>
      <c r="C287" s="29" t="str">
        <f aca="false">IF($B287="","",IFERROR(INDEX(Projects!$B$5:$B$204,MATCH($B287,Projects!$A$5:$A$204,0)),"Unknown project ID"))</f>
        <v/>
      </c>
      <c r="D287" s="25"/>
      <c r="E287" s="25"/>
      <c r="F287" s="25"/>
      <c r="G287" s="25"/>
      <c r="H287" s="25"/>
      <c r="I287" s="26"/>
      <c r="J287" s="26"/>
      <c r="K287" s="26"/>
      <c r="L287" s="30" t="str">
        <f aca="true">IF(OR($J287="",$H287="Done",$H287="Cancelled"),"",$J287-TODAY())</f>
        <v/>
      </c>
      <c r="M287" s="29" t="str">
        <f aca="true">IF(AND($J287&lt;&gt;"",$H287&lt;&gt;"Done",$H287&lt;&gt;"Cancelled",$J287&lt;TODAY()),"OVERDUE","")</f>
        <v/>
      </c>
      <c r="N287" s="25"/>
      <c r="O287" s="26"/>
      <c r="P287" s="25"/>
    </row>
    <row r="288" customFormat="false" ht="15" hidden="false" customHeight="false" outlineLevel="0" collapsed="false">
      <c r="A288" s="25"/>
      <c r="B288" s="25"/>
      <c r="C288" s="29" t="str">
        <f aca="false">IF($B288="","",IFERROR(INDEX(Projects!$B$5:$B$204,MATCH($B288,Projects!$A$5:$A$204,0)),"Unknown project ID"))</f>
        <v/>
      </c>
      <c r="D288" s="25"/>
      <c r="E288" s="25"/>
      <c r="F288" s="25"/>
      <c r="G288" s="25"/>
      <c r="H288" s="25"/>
      <c r="I288" s="26"/>
      <c r="J288" s="26"/>
      <c r="K288" s="26"/>
      <c r="L288" s="30" t="str">
        <f aca="true">IF(OR($J288="",$H288="Done",$H288="Cancelled"),"",$J288-TODAY())</f>
        <v/>
      </c>
      <c r="M288" s="29" t="str">
        <f aca="true">IF(AND($J288&lt;&gt;"",$H288&lt;&gt;"Done",$H288&lt;&gt;"Cancelled",$J288&lt;TODAY()),"OVERDUE","")</f>
        <v/>
      </c>
      <c r="N288" s="25"/>
      <c r="O288" s="26"/>
      <c r="P288" s="25"/>
    </row>
    <row r="289" customFormat="false" ht="15" hidden="false" customHeight="false" outlineLevel="0" collapsed="false">
      <c r="A289" s="25"/>
      <c r="B289" s="25"/>
      <c r="C289" s="29" t="str">
        <f aca="false">IF($B289="","",IFERROR(INDEX(Projects!$B$5:$B$204,MATCH($B289,Projects!$A$5:$A$204,0)),"Unknown project ID"))</f>
        <v/>
      </c>
      <c r="D289" s="25"/>
      <c r="E289" s="25"/>
      <c r="F289" s="25"/>
      <c r="G289" s="25"/>
      <c r="H289" s="25"/>
      <c r="I289" s="26"/>
      <c r="J289" s="26"/>
      <c r="K289" s="26"/>
      <c r="L289" s="30" t="str">
        <f aca="true">IF(OR($J289="",$H289="Done",$H289="Cancelled"),"",$J289-TODAY())</f>
        <v/>
      </c>
      <c r="M289" s="29" t="str">
        <f aca="true">IF(AND($J289&lt;&gt;"",$H289&lt;&gt;"Done",$H289&lt;&gt;"Cancelled",$J289&lt;TODAY()),"OVERDUE","")</f>
        <v/>
      </c>
      <c r="N289" s="25"/>
      <c r="O289" s="26"/>
      <c r="P289" s="25"/>
    </row>
    <row r="290" customFormat="false" ht="15" hidden="false" customHeight="false" outlineLevel="0" collapsed="false">
      <c r="A290" s="25"/>
      <c r="B290" s="25"/>
      <c r="C290" s="29" t="str">
        <f aca="false">IF($B290="","",IFERROR(INDEX(Projects!$B$5:$B$204,MATCH($B290,Projects!$A$5:$A$204,0)),"Unknown project ID"))</f>
        <v/>
      </c>
      <c r="D290" s="25"/>
      <c r="E290" s="25"/>
      <c r="F290" s="25"/>
      <c r="G290" s="25"/>
      <c r="H290" s="25"/>
      <c r="I290" s="26"/>
      <c r="J290" s="26"/>
      <c r="K290" s="26"/>
      <c r="L290" s="30" t="str">
        <f aca="true">IF(OR($J290="",$H290="Done",$H290="Cancelled"),"",$J290-TODAY())</f>
        <v/>
      </c>
      <c r="M290" s="29" t="str">
        <f aca="true">IF(AND($J290&lt;&gt;"",$H290&lt;&gt;"Done",$H290&lt;&gt;"Cancelled",$J290&lt;TODAY()),"OVERDUE","")</f>
        <v/>
      </c>
      <c r="N290" s="25"/>
      <c r="O290" s="26"/>
      <c r="P290" s="25"/>
    </row>
    <row r="291" customFormat="false" ht="15" hidden="false" customHeight="false" outlineLevel="0" collapsed="false">
      <c r="A291" s="25"/>
      <c r="B291" s="25"/>
      <c r="C291" s="29" t="str">
        <f aca="false">IF($B291="","",IFERROR(INDEX(Projects!$B$5:$B$204,MATCH($B291,Projects!$A$5:$A$204,0)),"Unknown project ID"))</f>
        <v/>
      </c>
      <c r="D291" s="25"/>
      <c r="E291" s="25"/>
      <c r="F291" s="25"/>
      <c r="G291" s="25"/>
      <c r="H291" s="25"/>
      <c r="I291" s="26"/>
      <c r="J291" s="26"/>
      <c r="K291" s="26"/>
      <c r="L291" s="30" t="str">
        <f aca="true">IF(OR($J291="",$H291="Done",$H291="Cancelled"),"",$J291-TODAY())</f>
        <v/>
      </c>
      <c r="M291" s="29" t="str">
        <f aca="true">IF(AND($J291&lt;&gt;"",$H291&lt;&gt;"Done",$H291&lt;&gt;"Cancelled",$J291&lt;TODAY()),"OVERDUE","")</f>
        <v/>
      </c>
      <c r="N291" s="25"/>
      <c r="O291" s="26"/>
      <c r="P291" s="25"/>
    </row>
    <row r="292" customFormat="false" ht="15" hidden="false" customHeight="false" outlineLevel="0" collapsed="false">
      <c r="A292" s="25"/>
      <c r="B292" s="25"/>
      <c r="C292" s="29" t="str">
        <f aca="false">IF($B292="","",IFERROR(INDEX(Projects!$B$5:$B$204,MATCH($B292,Projects!$A$5:$A$204,0)),"Unknown project ID"))</f>
        <v/>
      </c>
      <c r="D292" s="25"/>
      <c r="E292" s="25"/>
      <c r="F292" s="25"/>
      <c r="G292" s="25"/>
      <c r="H292" s="25"/>
      <c r="I292" s="26"/>
      <c r="J292" s="26"/>
      <c r="K292" s="26"/>
      <c r="L292" s="30" t="str">
        <f aca="true">IF(OR($J292="",$H292="Done",$H292="Cancelled"),"",$J292-TODAY())</f>
        <v/>
      </c>
      <c r="M292" s="29" t="str">
        <f aca="true">IF(AND($J292&lt;&gt;"",$H292&lt;&gt;"Done",$H292&lt;&gt;"Cancelled",$J292&lt;TODAY()),"OVERDUE","")</f>
        <v/>
      </c>
      <c r="N292" s="25"/>
      <c r="O292" s="26"/>
      <c r="P292" s="25"/>
    </row>
    <row r="293" customFormat="false" ht="15" hidden="false" customHeight="false" outlineLevel="0" collapsed="false">
      <c r="A293" s="25"/>
      <c r="B293" s="25"/>
      <c r="C293" s="29" t="str">
        <f aca="false">IF($B293="","",IFERROR(INDEX(Projects!$B$5:$B$204,MATCH($B293,Projects!$A$5:$A$204,0)),"Unknown project ID"))</f>
        <v/>
      </c>
      <c r="D293" s="25"/>
      <c r="E293" s="25"/>
      <c r="F293" s="25"/>
      <c r="G293" s="25"/>
      <c r="H293" s="25"/>
      <c r="I293" s="26"/>
      <c r="J293" s="26"/>
      <c r="K293" s="26"/>
      <c r="L293" s="30" t="str">
        <f aca="true">IF(OR($J293="",$H293="Done",$H293="Cancelled"),"",$J293-TODAY())</f>
        <v/>
      </c>
      <c r="M293" s="29" t="str">
        <f aca="true">IF(AND($J293&lt;&gt;"",$H293&lt;&gt;"Done",$H293&lt;&gt;"Cancelled",$J293&lt;TODAY()),"OVERDUE","")</f>
        <v/>
      </c>
      <c r="N293" s="25"/>
      <c r="O293" s="26"/>
      <c r="P293" s="25"/>
    </row>
    <row r="294" customFormat="false" ht="15" hidden="false" customHeight="false" outlineLevel="0" collapsed="false">
      <c r="A294" s="25"/>
      <c r="B294" s="25"/>
      <c r="C294" s="29" t="str">
        <f aca="false">IF($B294="","",IFERROR(INDEX(Projects!$B$5:$B$204,MATCH($B294,Projects!$A$5:$A$204,0)),"Unknown project ID"))</f>
        <v/>
      </c>
      <c r="D294" s="25"/>
      <c r="E294" s="25"/>
      <c r="F294" s="25"/>
      <c r="G294" s="25"/>
      <c r="H294" s="25"/>
      <c r="I294" s="26"/>
      <c r="J294" s="26"/>
      <c r="K294" s="26"/>
      <c r="L294" s="30" t="str">
        <f aca="true">IF(OR($J294="",$H294="Done",$H294="Cancelled"),"",$J294-TODAY())</f>
        <v/>
      </c>
      <c r="M294" s="29" t="str">
        <f aca="true">IF(AND($J294&lt;&gt;"",$H294&lt;&gt;"Done",$H294&lt;&gt;"Cancelled",$J294&lt;TODAY()),"OVERDUE","")</f>
        <v/>
      </c>
      <c r="N294" s="25"/>
      <c r="O294" s="26"/>
      <c r="P294" s="25"/>
    </row>
    <row r="295" customFormat="false" ht="15" hidden="false" customHeight="false" outlineLevel="0" collapsed="false">
      <c r="A295" s="25"/>
      <c r="B295" s="25"/>
      <c r="C295" s="29" t="str">
        <f aca="false">IF($B295="","",IFERROR(INDEX(Projects!$B$5:$B$204,MATCH($B295,Projects!$A$5:$A$204,0)),"Unknown project ID"))</f>
        <v/>
      </c>
      <c r="D295" s="25"/>
      <c r="E295" s="25"/>
      <c r="F295" s="25"/>
      <c r="G295" s="25"/>
      <c r="H295" s="25"/>
      <c r="I295" s="26"/>
      <c r="J295" s="26"/>
      <c r="K295" s="26"/>
      <c r="L295" s="30" t="str">
        <f aca="true">IF(OR($J295="",$H295="Done",$H295="Cancelled"),"",$J295-TODAY())</f>
        <v/>
      </c>
      <c r="M295" s="29" t="str">
        <f aca="true">IF(AND($J295&lt;&gt;"",$H295&lt;&gt;"Done",$H295&lt;&gt;"Cancelled",$J295&lt;TODAY()),"OVERDUE","")</f>
        <v/>
      </c>
      <c r="N295" s="25"/>
      <c r="O295" s="26"/>
      <c r="P295" s="25"/>
    </row>
    <row r="296" customFormat="false" ht="15" hidden="false" customHeight="false" outlineLevel="0" collapsed="false">
      <c r="A296" s="25"/>
      <c r="B296" s="25"/>
      <c r="C296" s="29" t="str">
        <f aca="false">IF($B296="","",IFERROR(INDEX(Projects!$B$5:$B$204,MATCH($B296,Projects!$A$5:$A$204,0)),"Unknown project ID"))</f>
        <v/>
      </c>
      <c r="D296" s="25"/>
      <c r="E296" s="25"/>
      <c r="F296" s="25"/>
      <c r="G296" s="25"/>
      <c r="H296" s="25"/>
      <c r="I296" s="26"/>
      <c r="J296" s="26"/>
      <c r="K296" s="26"/>
      <c r="L296" s="30" t="str">
        <f aca="true">IF(OR($J296="",$H296="Done",$H296="Cancelled"),"",$J296-TODAY())</f>
        <v/>
      </c>
      <c r="M296" s="29" t="str">
        <f aca="true">IF(AND($J296&lt;&gt;"",$H296&lt;&gt;"Done",$H296&lt;&gt;"Cancelled",$J296&lt;TODAY()),"OVERDUE","")</f>
        <v/>
      </c>
      <c r="N296" s="25"/>
      <c r="O296" s="26"/>
      <c r="P296" s="25"/>
    </row>
    <row r="297" customFormat="false" ht="15" hidden="false" customHeight="false" outlineLevel="0" collapsed="false">
      <c r="A297" s="25"/>
      <c r="B297" s="25"/>
      <c r="C297" s="29" t="str">
        <f aca="false">IF($B297="","",IFERROR(INDEX(Projects!$B$5:$B$204,MATCH($B297,Projects!$A$5:$A$204,0)),"Unknown project ID"))</f>
        <v/>
      </c>
      <c r="D297" s="25"/>
      <c r="E297" s="25"/>
      <c r="F297" s="25"/>
      <c r="G297" s="25"/>
      <c r="H297" s="25"/>
      <c r="I297" s="26"/>
      <c r="J297" s="26"/>
      <c r="K297" s="26"/>
      <c r="L297" s="30" t="str">
        <f aca="true">IF(OR($J297="",$H297="Done",$H297="Cancelled"),"",$J297-TODAY())</f>
        <v/>
      </c>
      <c r="M297" s="29" t="str">
        <f aca="true">IF(AND($J297&lt;&gt;"",$H297&lt;&gt;"Done",$H297&lt;&gt;"Cancelled",$J297&lt;TODAY()),"OVERDUE","")</f>
        <v/>
      </c>
      <c r="N297" s="25"/>
      <c r="O297" s="26"/>
      <c r="P297" s="25"/>
    </row>
    <row r="298" customFormat="false" ht="15" hidden="false" customHeight="false" outlineLevel="0" collapsed="false">
      <c r="A298" s="25"/>
      <c r="B298" s="25"/>
      <c r="C298" s="29" t="str">
        <f aca="false">IF($B298="","",IFERROR(INDEX(Projects!$B$5:$B$204,MATCH($B298,Projects!$A$5:$A$204,0)),"Unknown project ID"))</f>
        <v/>
      </c>
      <c r="D298" s="25"/>
      <c r="E298" s="25"/>
      <c r="F298" s="25"/>
      <c r="G298" s="25"/>
      <c r="H298" s="25"/>
      <c r="I298" s="26"/>
      <c r="J298" s="26"/>
      <c r="K298" s="26"/>
      <c r="L298" s="30" t="str">
        <f aca="true">IF(OR($J298="",$H298="Done",$H298="Cancelled"),"",$J298-TODAY())</f>
        <v/>
      </c>
      <c r="M298" s="29" t="str">
        <f aca="true">IF(AND($J298&lt;&gt;"",$H298&lt;&gt;"Done",$H298&lt;&gt;"Cancelled",$J298&lt;TODAY()),"OVERDUE","")</f>
        <v/>
      </c>
      <c r="N298" s="25"/>
      <c r="O298" s="26"/>
      <c r="P298" s="25"/>
    </row>
    <row r="299" customFormat="false" ht="15" hidden="false" customHeight="false" outlineLevel="0" collapsed="false">
      <c r="A299" s="25"/>
      <c r="B299" s="25"/>
      <c r="C299" s="29" t="str">
        <f aca="false">IF($B299="","",IFERROR(INDEX(Projects!$B$5:$B$204,MATCH($B299,Projects!$A$5:$A$204,0)),"Unknown project ID"))</f>
        <v/>
      </c>
      <c r="D299" s="25"/>
      <c r="E299" s="25"/>
      <c r="F299" s="25"/>
      <c r="G299" s="25"/>
      <c r="H299" s="25"/>
      <c r="I299" s="26"/>
      <c r="J299" s="26"/>
      <c r="K299" s="26"/>
      <c r="L299" s="30" t="str">
        <f aca="true">IF(OR($J299="",$H299="Done",$H299="Cancelled"),"",$J299-TODAY())</f>
        <v/>
      </c>
      <c r="M299" s="29" t="str">
        <f aca="true">IF(AND($J299&lt;&gt;"",$H299&lt;&gt;"Done",$H299&lt;&gt;"Cancelled",$J299&lt;TODAY()),"OVERDUE","")</f>
        <v/>
      </c>
      <c r="N299" s="25"/>
      <c r="O299" s="26"/>
      <c r="P299" s="25"/>
    </row>
    <row r="300" customFormat="false" ht="15" hidden="false" customHeight="false" outlineLevel="0" collapsed="false">
      <c r="A300" s="25"/>
      <c r="B300" s="25"/>
      <c r="C300" s="29" t="str">
        <f aca="false">IF($B300="","",IFERROR(INDEX(Projects!$B$5:$B$204,MATCH($B300,Projects!$A$5:$A$204,0)),"Unknown project ID"))</f>
        <v/>
      </c>
      <c r="D300" s="25"/>
      <c r="E300" s="25"/>
      <c r="F300" s="25"/>
      <c r="G300" s="25"/>
      <c r="H300" s="25"/>
      <c r="I300" s="26"/>
      <c r="J300" s="26"/>
      <c r="K300" s="26"/>
      <c r="L300" s="30" t="str">
        <f aca="true">IF(OR($J300="",$H300="Done",$H300="Cancelled"),"",$J300-TODAY())</f>
        <v/>
      </c>
      <c r="M300" s="29" t="str">
        <f aca="true">IF(AND($J300&lt;&gt;"",$H300&lt;&gt;"Done",$H300&lt;&gt;"Cancelled",$J300&lt;TODAY()),"OVERDUE","")</f>
        <v/>
      </c>
      <c r="N300" s="25"/>
      <c r="O300" s="26"/>
      <c r="P300" s="25"/>
    </row>
    <row r="301" customFormat="false" ht="15" hidden="false" customHeight="false" outlineLevel="0" collapsed="false">
      <c r="A301" s="25"/>
      <c r="B301" s="25"/>
      <c r="C301" s="29" t="str">
        <f aca="false">IF($B301="","",IFERROR(INDEX(Projects!$B$5:$B$204,MATCH($B301,Projects!$A$5:$A$204,0)),"Unknown project ID"))</f>
        <v/>
      </c>
      <c r="D301" s="25"/>
      <c r="E301" s="25"/>
      <c r="F301" s="25"/>
      <c r="G301" s="25"/>
      <c r="H301" s="25"/>
      <c r="I301" s="26"/>
      <c r="J301" s="26"/>
      <c r="K301" s="26"/>
      <c r="L301" s="30" t="str">
        <f aca="true">IF(OR($J301="",$H301="Done",$H301="Cancelled"),"",$J301-TODAY())</f>
        <v/>
      </c>
      <c r="M301" s="29" t="str">
        <f aca="true">IF(AND($J301&lt;&gt;"",$H301&lt;&gt;"Done",$H301&lt;&gt;"Cancelled",$J301&lt;TODAY()),"OVERDUE","")</f>
        <v/>
      </c>
      <c r="N301" s="25"/>
      <c r="O301" s="26"/>
      <c r="P301" s="25"/>
    </row>
    <row r="302" customFormat="false" ht="15" hidden="false" customHeight="false" outlineLevel="0" collapsed="false">
      <c r="A302" s="25"/>
      <c r="B302" s="25"/>
      <c r="C302" s="29" t="str">
        <f aca="false">IF($B302="","",IFERROR(INDEX(Projects!$B$5:$B$204,MATCH($B302,Projects!$A$5:$A$204,0)),"Unknown project ID"))</f>
        <v/>
      </c>
      <c r="D302" s="25"/>
      <c r="E302" s="25"/>
      <c r="F302" s="25"/>
      <c r="G302" s="25"/>
      <c r="H302" s="25"/>
      <c r="I302" s="26"/>
      <c r="J302" s="26"/>
      <c r="K302" s="26"/>
      <c r="L302" s="30" t="str">
        <f aca="true">IF(OR($J302="",$H302="Done",$H302="Cancelled"),"",$J302-TODAY())</f>
        <v/>
      </c>
      <c r="M302" s="29" t="str">
        <f aca="true">IF(AND($J302&lt;&gt;"",$H302&lt;&gt;"Done",$H302&lt;&gt;"Cancelled",$J302&lt;TODAY()),"OVERDUE","")</f>
        <v/>
      </c>
      <c r="N302" s="25"/>
      <c r="O302" s="26"/>
      <c r="P302" s="25"/>
    </row>
    <row r="303" customFormat="false" ht="15" hidden="false" customHeight="false" outlineLevel="0" collapsed="false">
      <c r="A303" s="25"/>
      <c r="B303" s="25"/>
      <c r="C303" s="29" t="str">
        <f aca="false">IF($B303="","",IFERROR(INDEX(Projects!$B$5:$B$204,MATCH($B303,Projects!$A$5:$A$204,0)),"Unknown project ID"))</f>
        <v/>
      </c>
      <c r="D303" s="25"/>
      <c r="E303" s="25"/>
      <c r="F303" s="25"/>
      <c r="G303" s="25"/>
      <c r="H303" s="25"/>
      <c r="I303" s="26"/>
      <c r="J303" s="26"/>
      <c r="K303" s="26"/>
      <c r="L303" s="30" t="str">
        <f aca="true">IF(OR($J303="",$H303="Done",$H303="Cancelled"),"",$J303-TODAY())</f>
        <v/>
      </c>
      <c r="M303" s="29" t="str">
        <f aca="true">IF(AND($J303&lt;&gt;"",$H303&lt;&gt;"Done",$H303&lt;&gt;"Cancelled",$J303&lt;TODAY()),"OVERDUE","")</f>
        <v/>
      </c>
      <c r="N303" s="25"/>
      <c r="O303" s="26"/>
      <c r="P303" s="25"/>
    </row>
    <row r="304" customFormat="false" ht="15" hidden="false" customHeight="false" outlineLevel="0" collapsed="false">
      <c r="A304" s="25"/>
      <c r="B304" s="25"/>
      <c r="C304" s="29" t="str">
        <f aca="false">IF($B304="","",IFERROR(INDEX(Projects!$B$5:$B$204,MATCH($B304,Projects!$A$5:$A$204,0)),"Unknown project ID"))</f>
        <v/>
      </c>
      <c r="D304" s="25"/>
      <c r="E304" s="25"/>
      <c r="F304" s="25"/>
      <c r="G304" s="25"/>
      <c r="H304" s="25"/>
      <c r="I304" s="26"/>
      <c r="J304" s="26"/>
      <c r="K304" s="26"/>
      <c r="L304" s="30" t="str">
        <f aca="true">IF(OR($J304="",$H304="Done",$H304="Cancelled"),"",$J304-TODAY())</f>
        <v/>
      </c>
      <c r="M304" s="29" t="str">
        <f aca="true">IF(AND($J304&lt;&gt;"",$H304&lt;&gt;"Done",$H304&lt;&gt;"Cancelled",$J304&lt;TODAY()),"OVERDUE","")</f>
        <v/>
      </c>
      <c r="N304" s="25"/>
      <c r="O304" s="26"/>
      <c r="P304" s="25"/>
    </row>
    <row r="305" customFormat="false" ht="15" hidden="false" customHeight="false" outlineLevel="0" collapsed="false">
      <c r="A305" s="25"/>
      <c r="B305" s="25"/>
      <c r="C305" s="29" t="str">
        <f aca="false">IF($B305="","",IFERROR(INDEX(Projects!$B$5:$B$204,MATCH($B305,Projects!$A$5:$A$204,0)),"Unknown project ID"))</f>
        <v/>
      </c>
      <c r="D305" s="25"/>
      <c r="E305" s="25"/>
      <c r="F305" s="25"/>
      <c r="G305" s="25"/>
      <c r="H305" s="25"/>
      <c r="I305" s="26"/>
      <c r="J305" s="26"/>
      <c r="K305" s="26"/>
      <c r="L305" s="30" t="str">
        <f aca="true">IF(OR($J305="",$H305="Done",$H305="Cancelled"),"",$J305-TODAY())</f>
        <v/>
      </c>
      <c r="M305" s="29" t="str">
        <f aca="true">IF(AND($J305&lt;&gt;"",$H305&lt;&gt;"Done",$H305&lt;&gt;"Cancelled",$J305&lt;TODAY()),"OVERDUE","")</f>
        <v/>
      </c>
      <c r="N305" s="25"/>
      <c r="O305" s="26"/>
      <c r="P305" s="25"/>
    </row>
    <row r="306" customFormat="false" ht="15" hidden="false" customHeight="false" outlineLevel="0" collapsed="false">
      <c r="A306" s="25"/>
      <c r="B306" s="25"/>
      <c r="C306" s="29" t="str">
        <f aca="false">IF($B306="","",IFERROR(INDEX(Projects!$B$5:$B$204,MATCH($B306,Projects!$A$5:$A$204,0)),"Unknown project ID"))</f>
        <v/>
      </c>
      <c r="D306" s="25"/>
      <c r="E306" s="25"/>
      <c r="F306" s="25"/>
      <c r="G306" s="25"/>
      <c r="H306" s="25"/>
      <c r="I306" s="26"/>
      <c r="J306" s="26"/>
      <c r="K306" s="26"/>
      <c r="L306" s="30" t="str">
        <f aca="true">IF(OR($J306="",$H306="Done",$H306="Cancelled"),"",$J306-TODAY())</f>
        <v/>
      </c>
      <c r="M306" s="29" t="str">
        <f aca="true">IF(AND($J306&lt;&gt;"",$H306&lt;&gt;"Done",$H306&lt;&gt;"Cancelled",$J306&lt;TODAY()),"OVERDUE","")</f>
        <v/>
      </c>
      <c r="N306" s="25"/>
      <c r="O306" s="26"/>
      <c r="P306" s="25"/>
    </row>
    <row r="307" customFormat="false" ht="15" hidden="false" customHeight="false" outlineLevel="0" collapsed="false">
      <c r="A307" s="25"/>
      <c r="B307" s="25"/>
      <c r="C307" s="29" t="str">
        <f aca="false">IF($B307="","",IFERROR(INDEX(Projects!$B$5:$B$204,MATCH($B307,Projects!$A$5:$A$204,0)),"Unknown project ID"))</f>
        <v/>
      </c>
      <c r="D307" s="25"/>
      <c r="E307" s="25"/>
      <c r="F307" s="25"/>
      <c r="G307" s="25"/>
      <c r="H307" s="25"/>
      <c r="I307" s="26"/>
      <c r="J307" s="26"/>
      <c r="K307" s="26"/>
      <c r="L307" s="30" t="str">
        <f aca="true">IF(OR($J307="",$H307="Done",$H307="Cancelled"),"",$J307-TODAY())</f>
        <v/>
      </c>
      <c r="M307" s="29" t="str">
        <f aca="true">IF(AND($J307&lt;&gt;"",$H307&lt;&gt;"Done",$H307&lt;&gt;"Cancelled",$J307&lt;TODAY()),"OVERDUE","")</f>
        <v/>
      </c>
      <c r="N307" s="25"/>
      <c r="O307" s="26"/>
      <c r="P307" s="25"/>
    </row>
    <row r="308" customFormat="false" ht="15" hidden="false" customHeight="false" outlineLevel="0" collapsed="false">
      <c r="A308" s="25"/>
      <c r="B308" s="25"/>
      <c r="C308" s="29" t="str">
        <f aca="false">IF($B308="","",IFERROR(INDEX(Projects!$B$5:$B$204,MATCH($B308,Projects!$A$5:$A$204,0)),"Unknown project ID"))</f>
        <v/>
      </c>
      <c r="D308" s="25"/>
      <c r="E308" s="25"/>
      <c r="F308" s="25"/>
      <c r="G308" s="25"/>
      <c r="H308" s="25"/>
      <c r="I308" s="26"/>
      <c r="J308" s="26"/>
      <c r="K308" s="26"/>
      <c r="L308" s="30" t="str">
        <f aca="true">IF(OR($J308="",$H308="Done",$H308="Cancelled"),"",$J308-TODAY())</f>
        <v/>
      </c>
      <c r="M308" s="29" t="str">
        <f aca="true">IF(AND($J308&lt;&gt;"",$H308&lt;&gt;"Done",$H308&lt;&gt;"Cancelled",$J308&lt;TODAY()),"OVERDUE","")</f>
        <v/>
      </c>
      <c r="N308" s="25"/>
      <c r="O308" s="26"/>
      <c r="P308" s="25"/>
    </row>
    <row r="309" customFormat="false" ht="15" hidden="false" customHeight="false" outlineLevel="0" collapsed="false">
      <c r="A309" s="25"/>
      <c r="B309" s="25"/>
      <c r="C309" s="29" t="str">
        <f aca="false">IF($B309="","",IFERROR(INDEX(Projects!$B$5:$B$204,MATCH($B309,Projects!$A$5:$A$204,0)),"Unknown project ID"))</f>
        <v/>
      </c>
      <c r="D309" s="25"/>
      <c r="E309" s="25"/>
      <c r="F309" s="25"/>
      <c r="G309" s="25"/>
      <c r="H309" s="25"/>
      <c r="I309" s="26"/>
      <c r="J309" s="26"/>
      <c r="K309" s="26"/>
      <c r="L309" s="30" t="str">
        <f aca="true">IF(OR($J309="",$H309="Done",$H309="Cancelled"),"",$J309-TODAY())</f>
        <v/>
      </c>
      <c r="M309" s="29" t="str">
        <f aca="true">IF(AND($J309&lt;&gt;"",$H309&lt;&gt;"Done",$H309&lt;&gt;"Cancelled",$J309&lt;TODAY()),"OVERDUE","")</f>
        <v/>
      </c>
      <c r="N309" s="25"/>
      <c r="O309" s="26"/>
      <c r="P309" s="25"/>
    </row>
    <row r="310" customFormat="false" ht="15" hidden="false" customHeight="false" outlineLevel="0" collapsed="false">
      <c r="A310" s="25"/>
      <c r="B310" s="25"/>
      <c r="C310" s="29" t="str">
        <f aca="false">IF($B310="","",IFERROR(INDEX(Projects!$B$5:$B$204,MATCH($B310,Projects!$A$5:$A$204,0)),"Unknown project ID"))</f>
        <v/>
      </c>
      <c r="D310" s="25"/>
      <c r="E310" s="25"/>
      <c r="F310" s="25"/>
      <c r="G310" s="25"/>
      <c r="H310" s="25"/>
      <c r="I310" s="26"/>
      <c r="J310" s="26"/>
      <c r="K310" s="26"/>
      <c r="L310" s="30" t="str">
        <f aca="true">IF(OR($J310="",$H310="Done",$H310="Cancelled"),"",$J310-TODAY())</f>
        <v/>
      </c>
      <c r="M310" s="29" t="str">
        <f aca="true">IF(AND($J310&lt;&gt;"",$H310&lt;&gt;"Done",$H310&lt;&gt;"Cancelled",$J310&lt;TODAY()),"OVERDUE","")</f>
        <v/>
      </c>
      <c r="N310" s="25"/>
      <c r="O310" s="26"/>
      <c r="P310" s="25"/>
    </row>
    <row r="311" customFormat="false" ht="15" hidden="false" customHeight="false" outlineLevel="0" collapsed="false">
      <c r="A311" s="25"/>
      <c r="B311" s="25"/>
      <c r="C311" s="29" t="str">
        <f aca="false">IF($B311="","",IFERROR(INDEX(Projects!$B$5:$B$204,MATCH($B311,Projects!$A$5:$A$204,0)),"Unknown project ID"))</f>
        <v/>
      </c>
      <c r="D311" s="25"/>
      <c r="E311" s="25"/>
      <c r="F311" s="25"/>
      <c r="G311" s="25"/>
      <c r="H311" s="25"/>
      <c r="I311" s="26"/>
      <c r="J311" s="26"/>
      <c r="K311" s="26"/>
      <c r="L311" s="30" t="str">
        <f aca="true">IF(OR($J311="",$H311="Done",$H311="Cancelled"),"",$J311-TODAY())</f>
        <v/>
      </c>
      <c r="M311" s="29" t="str">
        <f aca="true">IF(AND($J311&lt;&gt;"",$H311&lt;&gt;"Done",$H311&lt;&gt;"Cancelled",$J311&lt;TODAY()),"OVERDUE","")</f>
        <v/>
      </c>
      <c r="N311" s="25"/>
      <c r="O311" s="26"/>
      <c r="P311" s="25"/>
    </row>
    <row r="312" customFormat="false" ht="15" hidden="false" customHeight="false" outlineLevel="0" collapsed="false">
      <c r="A312" s="25"/>
      <c r="B312" s="25"/>
      <c r="C312" s="29" t="str">
        <f aca="false">IF($B312="","",IFERROR(INDEX(Projects!$B$5:$B$204,MATCH($B312,Projects!$A$5:$A$204,0)),"Unknown project ID"))</f>
        <v/>
      </c>
      <c r="D312" s="25"/>
      <c r="E312" s="25"/>
      <c r="F312" s="25"/>
      <c r="G312" s="25"/>
      <c r="H312" s="25"/>
      <c r="I312" s="26"/>
      <c r="J312" s="26"/>
      <c r="K312" s="26"/>
      <c r="L312" s="30" t="str">
        <f aca="true">IF(OR($J312="",$H312="Done",$H312="Cancelled"),"",$J312-TODAY())</f>
        <v/>
      </c>
      <c r="M312" s="29" t="str">
        <f aca="true">IF(AND($J312&lt;&gt;"",$H312&lt;&gt;"Done",$H312&lt;&gt;"Cancelled",$J312&lt;TODAY()),"OVERDUE","")</f>
        <v/>
      </c>
      <c r="N312" s="25"/>
      <c r="O312" s="26"/>
      <c r="P312" s="25"/>
    </row>
    <row r="313" customFormat="false" ht="15" hidden="false" customHeight="false" outlineLevel="0" collapsed="false">
      <c r="A313" s="25"/>
      <c r="B313" s="25"/>
      <c r="C313" s="29" t="str">
        <f aca="false">IF($B313="","",IFERROR(INDEX(Projects!$B$5:$B$204,MATCH($B313,Projects!$A$5:$A$204,0)),"Unknown project ID"))</f>
        <v/>
      </c>
      <c r="D313" s="25"/>
      <c r="E313" s="25"/>
      <c r="F313" s="25"/>
      <c r="G313" s="25"/>
      <c r="H313" s="25"/>
      <c r="I313" s="26"/>
      <c r="J313" s="26"/>
      <c r="K313" s="26"/>
      <c r="L313" s="30" t="str">
        <f aca="true">IF(OR($J313="",$H313="Done",$H313="Cancelled"),"",$J313-TODAY())</f>
        <v/>
      </c>
      <c r="M313" s="29" t="str">
        <f aca="true">IF(AND($J313&lt;&gt;"",$H313&lt;&gt;"Done",$H313&lt;&gt;"Cancelled",$J313&lt;TODAY()),"OVERDUE","")</f>
        <v/>
      </c>
      <c r="N313" s="25"/>
      <c r="O313" s="26"/>
      <c r="P313" s="25"/>
    </row>
    <row r="314" customFormat="false" ht="15" hidden="false" customHeight="false" outlineLevel="0" collapsed="false">
      <c r="A314" s="25"/>
      <c r="B314" s="25"/>
      <c r="C314" s="29" t="str">
        <f aca="false">IF($B314="","",IFERROR(INDEX(Projects!$B$5:$B$204,MATCH($B314,Projects!$A$5:$A$204,0)),"Unknown project ID"))</f>
        <v/>
      </c>
      <c r="D314" s="25"/>
      <c r="E314" s="25"/>
      <c r="F314" s="25"/>
      <c r="G314" s="25"/>
      <c r="H314" s="25"/>
      <c r="I314" s="26"/>
      <c r="J314" s="26"/>
      <c r="K314" s="26"/>
      <c r="L314" s="30" t="str">
        <f aca="true">IF(OR($J314="",$H314="Done",$H314="Cancelled"),"",$J314-TODAY())</f>
        <v/>
      </c>
      <c r="M314" s="29" t="str">
        <f aca="true">IF(AND($J314&lt;&gt;"",$H314&lt;&gt;"Done",$H314&lt;&gt;"Cancelled",$J314&lt;TODAY()),"OVERDUE","")</f>
        <v/>
      </c>
      <c r="N314" s="25"/>
      <c r="O314" s="26"/>
      <c r="P314" s="25"/>
    </row>
    <row r="315" customFormat="false" ht="15" hidden="false" customHeight="false" outlineLevel="0" collapsed="false">
      <c r="A315" s="25"/>
      <c r="B315" s="25"/>
      <c r="C315" s="29" t="str">
        <f aca="false">IF($B315="","",IFERROR(INDEX(Projects!$B$5:$B$204,MATCH($B315,Projects!$A$5:$A$204,0)),"Unknown project ID"))</f>
        <v/>
      </c>
      <c r="D315" s="25"/>
      <c r="E315" s="25"/>
      <c r="F315" s="25"/>
      <c r="G315" s="25"/>
      <c r="H315" s="25"/>
      <c r="I315" s="26"/>
      <c r="J315" s="26"/>
      <c r="K315" s="26"/>
      <c r="L315" s="30" t="str">
        <f aca="true">IF(OR($J315="",$H315="Done",$H315="Cancelled"),"",$J315-TODAY())</f>
        <v/>
      </c>
      <c r="M315" s="29" t="str">
        <f aca="true">IF(AND($J315&lt;&gt;"",$H315&lt;&gt;"Done",$H315&lt;&gt;"Cancelled",$J315&lt;TODAY()),"OVERDUE","")</f>
        <v/>
      </c>
      <c r="N315" s="25"/>
      <c r="O315" s="26"/>
      <c r="P315" s="25"/>
    </row>
    <row r="316" customFormat="false" ht="15" hidden="false" customHeight="false" outlineLevel="0" collapsed="false">
      <c r="A316" s="25"/>
      <c r="B316" s="25"/>
      <c r="C316" s="29" t="str">
        <f aca="false">IF($B316="","",IFERROR(INDEX(Projects!$B$5:$B$204,MATCH($B316,Projects!$A$5:$A$204,0)),"Unknown project ID"))</f>
        <v/>
      </c>
      <c r="D316" s="25"/>
      <c r="E316" s="25"/>
      <c r="F316" s="25"/>
      <c r="G316" s="25"/>
      <c r="H316" s="25"/>
      <c r="I316" s="26"/>
      <c r="J316" s="26"/>
      <c r="K316" s="26"/>
      <c r="L316" s="30" t="str">
        <f aca="true">IF(OR($J316="",$H316="Done",$H316="Cancelled"),"",$J316-TODAY())</f>
        <v/>
      </c>
      <c r="M316" s="29" t="str">
        <f aca="true">IF(AND($J316&lt;&gt;"",$H316&lt;&gt;"Done",$H316&lt;&gt;"Cancelled",$J316&lt;TODAY()),"OVERDUE","")</f>
        <v/>
      </c>
      <c r="N316" s="25"/>
      <c r="O316" s="26"/>
      <c r="P316" s="25"/>
    </row>
    <row r="317" customFormat="false" ht="15" hidden="false" customHeight="false" outlineLevel="0" collapsed="false">
      <c r="A317" s="25"/>
      <c r="B317" s="25"/>
      <c r="C317" s="29" t="str">
        <f aca="false">IF($B317="","",IFERROR(INDEX(Projects!$B$5:$B$204,MATCH($B317,Projects!$A$5:$A$204,0)),"Unknown project ID"))</f>
        <v/>
      </c>
      <c r="D317" s="25"/>
      <c r="E317" s="25"/>
      <c r="F317" s="25"/>
      <c r="G317" s="25"/>
      <c r="H317" s="25"/>
      <c r="I317" s="26"/>
      <c r="J317" s="26"/>
      <c r="K317" s="26"/>
      <c r="L317" s="30" t="str">
        <f aca="true">IF(OR($J317="",$H317="Done",$H317="Cancelled"),"",$J317-TODAY())</f>
        <v/>
      </c>
      <c r="M317" s="29" t="str">
        <f aca="true">IF(AND($J317&lt;&gt;"",$H317&lt;&gt;"Done",$H317&lt;&gt;"Cancelled",$J317&lt;TODAY()),"OVERDUE","")</f>
        <v/>
      </c>
      <c r="N317" s="25"/>
      <c r="O317" s="26"/>
      <c r="P317" s="25"/>
    </row>
    <row r="318" customFormat="false" ht="15" hidden="false" customHeight="false" outlineLevel="0" collapsed="false">
      <c r="A318" s="25"/>
      <c r="B318" s="25"/>
      <c r="C318" s="29" t="str">
        <f aca="false">IF($B318="","",IFERROR(INDEX(Projects!$B$5:$B$204,MATCH($B318,Projects!$A$5:$A$204,0)),"Unknown project ID"))</f>
        <v/>
      </c>
      <c r="D318" s="25"/>
      <c r="E318" s="25"/>
      <c r="F318" s="25"/>
      <c r="G318" s="25"/>
      <c r="H318" s="25"/>
      <c r="I318" s="26"/>
      <c r="J318" s="26"/>
      <c r="K318" s="26"/>
      <c r="L318" s="30" t="str">
        <f aca="true">IF(OR($J318="",$H318="Done",$H318="Cancelled"),"",$J318-TODAY())</f>
        <v/>
      </c>
      <c r="M318" s="29" t="str">
        <f aca="true">IF(AND($J318&lt;&gt;"",$H318&lt;&gt;"Done",$H318&lt;&gt;"Cancelled",$J318&lt;TODAY()),"OVERDUE","")</f>
        <v/>
      </c>
      <c r="N318" s="25"/>
      <c r="O318" s="26"/>
      <c r="P318" s="25"/>
    </row>
    <row r="319" customFormat="false" ht="15" hidden="false" customHeight="false" outlineLevel="0" collapsed="false">
      <c r="A319" s="25"/>
      <c r="B319" s="25"/>
      <c r="C319" s="29" t="str">
        <f aca="false">IF($B319="","",IFERROR(INDEX(Projects!$B$5:$B$204,MATCH($B319,Projects!$A$5:$A$204,0)),"Unknown project ID"))</f>
        <v/>
      </c>
      <c r="D319" s="25"/>
      <c r="E319" s="25"/>
      <c r="F319" s="25"/>
      <c r="G319" s="25"/>
      <c r="H319" s="25"/>
      <c r="I319" s="26"/>
      <c r="J319" s="26"/>
      <c r="K319" s="26"/>
      <c r="L319" s="30" t="str">
        <f aca="true">IF(OR($J319="",$H319="Done",$H319="Cancelled"),"",$J319-TODAY())</f>
        <v/>
      </c>
      <c r="M319" s="29" t="str">
        <f aca="true">IF(AND($J319&lt;&gt;"",$H319&lt;&gt;"Done",$H319&lt;&gt;"Cancelled",$J319&lt;TODAY()),"OVERDUE","")</f>
        <v/>
      </c>
      <c r="N319" s="25"/>
      <c r="O319" s="26"/>
      <c r="P319" s="25"/>
    </row>
    <row r="320" customFormat="false" ht="15" hidden="false" customHeight="false" outlineLevel="0" collapsed="false">
      <c r="A320" s="25"/>
      <c r="B320" s="25"/>
      <c r="C320" s="29" t="str">
        <f aca="false">IF($B320="","",IFERROR(INDEX(Projects!$B$5:$B$204,MATCH($B320,Projects!$A$5:$A$204,0)),"Unknown project ID"))</f>
        <v/>
      </c>
      <c r="D320" s="25"/>
      <c r="E320" s="25"/>
      <c r="F320" s="25"/>
      <c r="G320" s="25"/>
      <c r="H320" s="25"/>
      <c r="I320" s="26"/>
      <c r="J320" s="26"/>
      <c r="K320" s="26"/>
      <c r="L320" s="30" t="str">
        <f aca="true">IF(OR($J320="",$H320="Done",$H320="Cancelled"),"",$J320-TODAY())</f>
        <v/>
      </c>
      <c r="M320" s="29" t="str">
        <f aca="true">IF(AND($J320&lt;&gt;"",$H320&lt;&gt;"Done",$H320&lt;&gt;"Cancelled",$J320&lt;TODAY()),"OVERDUE","")</f>
        <v/>
      </c>
      <c r="N320" s="25"/>
      <c r="O320" s="26"/>
      <c r="P320" s="25"/>
    </row>
    <row r="321" customFormat="false" ht="15" hidden="false" customHeight="false" outlineLevel="0" collapsed="false">
      <c r="A321" s="25"/>
      <c r="B321" s="25"/>
      <c r="C321" s="29" t="str">
        <f aca="false">IF($B321="","",IFERROR(INDEX(Projects!$B$5:$B$204,MATCH($B321,Projects!$A$5:$A$204,0)),"Unknown project ID"))</f>
        <v/>
      </c>
      <c r="D321" s="25"/>
      <c r="E321" s="25"/>
      <c r="F321" s="25"/>
      <c r="G321" s="25"/>
      <c r="H321" s="25"/>
      <c r="I321" s="26"/>
      <c r="J321" s="26"/>
      <c r="K321" s="26"/>
      <c r="L321" s="30" t="str">
        <f aca="true">IF(OR($J321="",$H321="Done",$H321="Cancelled"),"",$J321-TODAY())</f>
        <v/>
      </c>
      <c r="M321" s="29" t="str">
        <f aca="true">IF(AND($J321&lt;&gt;"",$H321&lt;&gt;"Done",$H321&lt;&gt;"Cancelled",$J321&lt;TODAY()),"OVERDUE","")</f>
        <v/>
      </c>
      <c r="N321" s="25"/>
      <c r="O321" s="26"/>
      <c r="P321" s="25"/>
    </row>
    <row r="322" customFormat="false" ht="15" hidden="false" customHeight="false" outlineLevel="0" collapsed="false">
      <c r="A322" s="25"/>
      <c r="B322" s="25"/>
      <c r="C322" s="29" t="str">
        <f aca="false">IF($B322="","",IFERROR(INDEX(Projects!$B$5:$B$204,MATCH($B322,Projects!$A$5:$A$204,0)),"Unknown project ID"))</f>
        <v/>
      </c>
      <c r="D322" s="25"/>
      <c r="E322" s="25"/>
      <c r="F322" s="25"/>
      <c r="G322" s="25"/>
      <c r="H322" s="25"/>
      <c r="I322" s="26"/>
      <c r="J322" s="26"/>
      <c r="K322" s="26"/>
      <c r="L322" s="30" t="str">
        <f aca="true">IF(OR($J322="",$H322="Done",$H322="Cancelled"),"",$J322-TODAY())</f>
        <v/>
      </c>
      <c r="M322" s="29" t="str">
        <f aca="true">IF(AND($J322&lt;&gt;"",$H322&lt;&gt;"Done",$H322&lt;&gt;"Cancelled",$J322&lt;TODAY()),"OVERDUE","")</f>
        <v/>
      </c>
      <c r="N322" s="25"/>
      <c r="O322" s="26"/>
      <c r="P322" s="25"/>
    </row>
    <row r="323" customFormat="false" ht="15" hidden="false" customHeight="false" outlineLevel="0" collapsed="false">
      <c r="A323" s="25"/>
      <c r="B323" s="25"/>
      <c r="C323" s="29" t="str">
        <f aca="false">IF($B323="","",IFERROR(INDEX(Projects!$B$5:$B$204,MATCH($B323,Projects!$A$5:$A$204,0)),"Unknown project ID"))</f>
        <v/>
      </c>
      <c r="D323" s="25"/>
      <c r="E323" s="25"/>
      <c r="F323" s="25"/>
      <c r="G323" s="25"/>
      <c r="H323" s="25"/>
      <c r="I323" s="26"/>
      <c r="J323" s="26"/>
      <c r="K323" s="26"/>
      <c r="L323" s="30" t="str">
        <f aca="true">IF(OR($J323="",$H323="Done",$H323="Cancelled"),"",$J323-TODAY())</f>
        <v/>
      </c>
      <c r="M323" s="29" t="str">
        <f aca="true">IF(AND($J323&lt;&gt;"",$H323&lt;&gt;"Done",$H323&lt;&gt;"Cancelled",$J323&lt;TODAY()),"OVERDUE","")</f>
        <v/>
      </c>
      <c r="N323" s="25"/>
      <c r="O323" s="26"/>
      <c r="P323" s="25"/>
    </row>
    <row r="324" customFormat="false" ht="15" hidden="false" customHeight="false" outlineLevel="0" collapsed="false">
      <c r="A324" s="25"/>
      <c r="B324" s="25"/>
      <c r="C324" s="29" t="str">
        <f aca="false">IF($B324="","",IFERROR(INDEX(Projects!$B$5:$B$204,MATCH($B324,Projects!$A$5:$A$204,0)),"Unknown project ID"))</f>
        <v/>
      </c>
      <c r="D324" s="25"/>
      <c r="E324" s="25"/>
      <c r="F324" s="25"/>
      <c r="G324" s="25"/>
      <c r="H324" s="25"/>
      <c r="I324" s="26"/>
      <c r="J324" s="26"/>
      <c r="K324" s="26"/>
      <c r="L324" s="30" t="str">
        <f aca="true">IF(OR($J324="",$H324="Done",$H324="Cancelled"),"",$J324-TODAY())</f>
        <v/>
      </c>
      <c r="M324" s="29" t="str">
        <f aca="true">IF(AND($J324&lt;&gt;"",$H324&lt;&gt;"Done",$H324&lt;&gt;"Cancelled",$J324&lt;TODAY()),"OVERDUE","")</f>
        <v/>
      </c>
      <c r="N324" s="25"/>
      <c r="O324" s="26"/>
      <c r="P324" s="25"/>
    </row>
    <row r="325" customFormat="false" ht="15" hidden="false" customHeight="false" outlineLevel="0" collapsed="false">
      <c r="A325" s="25"/>
      <c r="B325" s="25"/>
      <c r="C325" s="29" t="str">
        <f aca="false">IF($B325="","",IFERROR(INDEX(Projects!$B$5:$B$204,MATCH($B325,Projects!$A$5:$A$204,0)),"Unknown project ID"))</f>
        <v/>
      </c>
      <c r="D325" s="25"/>
      <c r="E325" s="25"/>
      <c r="F325" s="25"/>
      <c r="G325" s="25"/>
      <c r="H325" s="25"/>
      <c r="I325" s="26"/>
      <c r="J325" s="26"/>
      <c r="K325" s="26"/>
      <c r="L325" s="30" t="str">
        <f aca="true">IF(OR($J325="",$H325="Done",$H325="Cancelled"),"",$J325-TODAY())</f>
        <v/>
      </c>
      <c r="M325" s="29" t="str">
        <f aca="true">IF(AND($J325&lt;&gt;"",$H325&lt;&gt;"Done",$H325&lt;&gt;"Cancelled",$J325&lt;TODAY()),"OVERDUE","")</f>
        <v/>
      </c>
      <c r="N325" s="25"/>
      <c r="O325" s="26"/>
      <c r="P325" s="25"/>
    </row>
    <row r="326" customFormat="false" ht="15" hidden="false" customHeight="false" outlineLevel="0" collapsed="false">
      <c r="A326" s="25"/>
      <c r="B326" s="25"/>
      <c r="C326" s="29" t="str">
        <f aca="false">IF($B326="","",IFERROR(INDEX(Projects!$B$5:$B$204,MATCH($B326,Projects!$A$5:$A$204,0)),"Unknown project ID"))</f>
        <v/>
      </c>
      <c r="D326" s="25"/>
      <c r="E326" s="25"/>
      <c r="F326" s="25"/>
      <c r="G326" s="25"/>
      <c r="H326" s="25"/>
      <c r="I326" s="26"/>
      <c r="J326" s="26"/>
      <c r="K326" s="26"/>
      <c r="L326" s="30" t="str">
        <f aca="true">IF(OR($J326="",$H326="Done",$H326="Cancelled"),"",$J326-TODAY())</f>
        <v/>
      </c>
      <c r="M326" s="29" t="str">
        <f aca="true">IF(AND($J326&lt;&gt;"",$H326&lt;&gt;"Done",$H326&lt;&gt;"Cancelled",$J326&lt;TODAY()),"OVERDUE","")</f>
        <v/>
      </c>
      <c r="N326" s="25"/>
      <c r="O326" s="26"/>
      <c r="P326" s="25"/>
    </row>
    <row r="327" customFormat="false" ht="15" hidden="false" customHeight="false" outlineLevel="0" collapsed="false">
      <c r="A327" s="25"/>
      <c r="B327" s="25"/>
      <c r="C327" s="29" t="str">
        <f aca="false">IF($B327="","",IFERROR(INDEX(Projects!$B$5:$B$204,MATCH($B327,Projects!$A$5:$A$204,0)),"Unknown project ID"))</f>
        <v/>
      </c>
      <c r="D327" s="25"/>
      <c r="E327" s="25"/>
      <c r="F327" s="25"/>
      <c r="G327" s="25"/>
      <c r="H327" s="25"/>
      <c r="I327" s="26"/>
      <c r="J327" s="26"/>
      <c r="K327" s="26"/>
      <c r="L327" s="30" t="str">
        <f aca="true">IF(OR($J327="",$H327="Done",$H327="Cancelled"),"",$J327-TODAY())</f>
        <v/>
      </c>
      <c r="M327" s="29" t="str">
        <f aca="true">IF(AND($J327&lt;&gt;"",$H327&lt;&gt;"Done",$H327&lt;&gt;"Cancelled",$J327&lt;TODAY()),"OVERDUE","")</f>
        <v/>
      </c>
      <c r="N327" s="25"/>
      <c r="O327" s="26"/>
      <c r="P327" s="25"/>
    </row>
    <row r="328" customFormat="false" ht="15" hidden="false" customHeight="false" outlineLevel="0" collapsed="false">
      <c r="A328" s="25"/>
      <c r="B328" s="25"/>
      <c r="C328" s="29" t="str">
        <f aca="false">IF($B328="","",IFERROR(INDEX(Projects!$B$5:$B$204,MATCH($B328,Projects!$A$5:$A$204,0)),"Unknown project ID"))</f>
        <v/>
      </c>
      <c r="D328" s="25"/>
      <c r="E328" s="25"/>
      <c r="F328" s="25"/>
      <c r="G328" s="25"/>
      <c r="H328" s="25"/>
      <c r="I328" s="26"/>
      <c r="J328" s="26"/>
      <c r="K328" s="26"/>
      <c r="L328" s="30" t="str">
        <f aca="true">IF(OR($J328="",$H328="Done",$H328="Cancelled"),"",$J328-TODAY())</f>
        <v/>
      </c>
      <c r="M328" s="29" t="str">
        <f aca="true">IF(AND($J328&lt;&gt;"",$H328&lt;&gt;"Done",$H328&lt;&gt;"Cancelled",$J328&lt;TODAY()),"OVERDUE","")</f>
        <v/>
      </c>
      <c r="N328" s="25"/>
      <c r="O328" s="26"/>
      <c r="P328" s="25"/>
    </row>
    <row r="329" customFormat="false" ht="15" hidden="false" customHeight="false" outlineLevel="0" collapsed="false">
      <c r="A329" s="25"/>
      <c r="B329" s="25"/>
      <c r="C329" s="29" t="str">
        <f aca="false">IF($B329="","",IFERROR(INDEX(Projects!$B$5:$B$204,MATCH($B329,Projects!$A$5:$A$204,0)),"Unknown project ID"))</f>
        <v/>
      </c>
      <c r="D329" s="25"/>
      <c r="E329" s="25"/>
      <c r="F329" s="25"/>
      <c r="G329" s="25"/>
      <c r="H329" s="25"/>
      <c r="I329" s="26"/>
      <c r="J329" s="26"/>
      <c r="K329" s="26"/>
      <c r="L329" s="30" t="str">
        <f aca="true">IF(OR($J329="",$H329="Done",$H329="Cancelled"),"",$J329-TODAY())</f>
        <v/>
      </c>
      <c r="M329" s="29" t="str">
        <f aca="true">IF(AND($J329&lt;&gt;"",$H329&lt;&gt;"Done",$H329&lt;&gt;"Cancelled",$J329&lt;TODAY()),"OVERDUE","")</f>
        <v/>
      </c>
      <c r="N329" s="25"/>
      <c r="O329" s="26"/>
      <c r="P329" s="25"/>
    </row>
    <row r="330" customFormat="false" ht="15" hidden="false" customHeight="false" outlineLevel="0" collapsed="false">
      <c r="A330" s="25"/>
      <c r="B330" s="25"/>
      <c r="C330" s="29" t="str">
        <f aca="false">IF($B330="","",IFERROR(INDEX(Projects!$B$5:$B$204,MATCH($B330,Projects!$A$5:$A$204,0)),"Unknown project ID"))</f>
        <v/>
      </c>
      <c r="D330" s="25"/>
      <c r="E330" s="25"/>
      <c r="F330" s="25"/>
      <c r="G330" s="25"/>
      <c r="H330" s="25"/>
      <c r="I330" s="26"/>
      <c r="J330" s="26"/>
      <c r="K330" s="26"/>
      <c r="L330" s="30" t="str">
        <f aca="true">IF(OR($J330="",$H330="Done",$H330="Cancelled"),"",$J330-TODAY())</f>
        <v/>
      </c>
      <c r="M330" s="29" t="str">
        <f aca="true">IF(AND($J330&lt;&gt;"",$H330&lt;&gt;"Done",$H330&lt;&gt;"Cancelled",$J330&lt;TODAY()),"OVERDUE","")</f>
        <v/>
      </c>
      <c r="N330" s="25"/>
      <c r="O330" s="26"/>
      <c r="P330" s="25"/>
    </row>
    <row r="331" customFormat="false" ht="15" hidden="false" customHeight="false" outlineLevel="0" collapsed="false">
      <c r="A331" s="25"/>
      <c r="B331" s="25"/>
      <c r="C331" s="29" t="str">
        <f aca="false">IF($B331="","",IFERROR(INDEX(Projects!$B$5:$B$204,MATCH($B331,Projects!$A$5:$A$204,0)),"Unknown project ID"))</f>
        <v/>
      </c>
      <c r="D331" s="25"/>
      <c r="E331" s="25"/>
      <c r="F331" s="25"/>
      <c r="G331" s="25"/>
      <c r="H331" s="25"/>
      <c r="I331" s="26"/>
      <c r="J331" s="26"/>
      <c r="K331" s="26"/>
      <c r="L331" s="30" t="str">
        <f aca="true">IF(OR($J331="",$H331="Done",$H331="Cancelled"),"",$J331-TODAY())</f>
        <v/>
      </c>
      <c r="M331" s="29" t="str">
        <f aca="true">IF(AND($J331&lt;&gt;"",$H331&lt;&gt;"Done",$H331&lt;&gt;"Cancelled",$J331&lt;TODAY()),"OVERDUE","")</f>
        <v/>
      </c>
      <c r="N331" s="25"/>
      <c r="O331" s="26"/>
      <c r="P331" s="25"/>
    </row>
    <row r="332" customFormat="false" ht="15" hidden="false" customHeight="false" outlineLevel="0" collapsed="false">
      <c r="A332" s="25"/>
      <c r="B332" s="25"/>
      <c r="C332" s="29" t="str">
        <f aca="false">IF($B332="","",IFERROR(INDEX(Projects!$B$5:$B$204,MATCH($B332,Projects!$A$5:$A$204,0)),"Unknown project ID"))</f>
        <v/>
      </c>
      <c r="D332" s="25"/>
      <c r="E332" s="25"/>
      <c r="F332" s="25"/>
      <c r="G332" s="25"/>
      <c r="H332" s="25"/>
      <c r="I332" s="26"/>
      <c r="J332" s="26"/>
      <c r="K332" s="26"/>
      <c r="L332" s="30" t="str">
        <f aca="true">IF(OR($J332="",$H332="Done",$H332="Cancelled"),"",$J332-TODAY())</f>
        <v/>
      </c>
      <c r="M332" s="29" t="str">
        <f aca="true">IF(AND($J332&lt;&gt;"",$H332&lt;&gt;"Done",$H332&lt;&gt;"Cancelled",$J332&lt;TODAY()),"OVERDUE","")</f>
        <v/>
      </c>
      <c r="N332" s="25"/>
      <c r="O332" s="26"/>
      <c r="P332" s="25"/>
    </row>
    <row r="333" customFormat="false" ht="15" hidden="false" customHeight="false" outlineLevel="0" collapsed="false">
      <c r="A333" s="25"/>
      <c r="B333" s="25"/>
      <c r="C333" s="29" t="str">
        <f aca="false">IF($B333="","",IFERROR(INDEX(Projects!$B$5:$B$204,MATCH($B333,Projects!$A$5:$A$204,0)),"Unknown project ID"))</f>
        <v/>
      </c>
      <c r="D333" s="25"/>
      <c r="E333" s="25"/>
      <c r="F333" s="25"/>
      <c r="G333" s="25"/>
      <c r="H333" s="25"/>
      <c r="I333" s="26"/>
      <c r="J333" s="26"/>
      <c r="K333" s="26"/>
      <c r="L333" s="30" t="str">
        <f aca="true">IF(OR($J333="",$H333="Done",$H333="Cancelled"),"",$J333-TODAY())</f>
        <v/>
      </c>
      <c r="M333" s="29" t="str">
        <f aca="true">IF(AND($J333&lt;&gt;"",$H333&lt;&gt;"Done",$H333&lt;&gt;"Cancelled",$J333&lt;TODAY()),"OVERDUE","")</f>
        <v/>
      </c>
      <c r="N333" s="25"/>
      <c r="O333" s="26"/>
      <c r="P333" s="25"/>
    </row>
    <row r="334" customFormat="false" ht="15" hidden="false" customHeight="false" outlineLevel="0" collapsed="false">
      <c r="A334" s="25"/>
      <c r="B334" s="25"/>
      <c r="C334" s="29" t="str">
        <f aca="false">IF($B334="","",IFERROR(INDEX(Projects!$B$5:$B$204,MATCH($B334,Projects!$A$5:$A$204,0)),"Unknown project ID"))</f>
        <v/>
      </c>
      <c r="D334" s="25"/>
      <c r="E334" s="25"/>
      <c r="F334" s="25"/>
      <c r="G334" s="25"/>
      <c r="H334" s="25"/>
      <c r="I334" s="26"/>
      <c r="J334" s="26"/>
      <c r="K334" s="26"/>
      <c r="L334" s="30" t="str">
        <f aca="true">IF(OR($J334="",$H334="Done",$H334="Cancelled"),"",$J334-TODAY())</f>
        <v/>
      </c>
      <c r="M334" s="29" t="str">
        <f aca="true">IF(AND($J334&lt;&gt;"",$H334&lt;&gt;"Done",$H334&lt;&gt;"Cancelled",$J334&lt;TODAY()),"OVERDUE","")</f>
        <v/>
      </c>
      <c r="N334" s="25"/>
      <c r="O334" s="26"/>
      <c r="P334" s="25"/>
    </row>
    <row r="335" customFormat="false" ht="15" hidden="false" customHeight="false" outlineLevel="0" collapsed="false">
      <c r="A335" s="25"/>
      <c r="B335" s="25"/>
      <c r="C335" s="29" t="str">
        <f aca="false">IF($B335="","",IFERROR(INDEX(Projects!$B$5:$B$204,MATCH($B335,Projects!$A$5:$A$204,0)),"Unknown project ID"))</f>
        <v/>
      </c>
      <c r="D335" s="25"/>
      <c r="E335" s="25"/>
      <c r="F335" s="25"/>
      <c r="G335" s="25"/>
      <c r="H335" s="25"/>
      <c r="I335" s="26"/>
      <c r="J335" s="26"/>
      <c r="K335" s="26"/>
      <c r="L335" s="30" t="str">
        <f aca="true">IF(OR($J335="",$H335="Done",$H335="Cancelled"),"",$J335-TODAY())</f>
        <v/>
      </c>
      <c r="M335" s="29" t="str">
        <f aca="true">IF(AND($J335&lt;&gt;"",$H335&lt;&gt;"Done",$H335&lt;&gt;"Cancelled",$J335&lt;TODAY()),"OVERDUE","")</f>
        <v/>
      </c>
      <c r="N335" s="25"/>
      <c r="O335" s="26"/>
      <c r="P335" s="25"/>
    </row>
    <row r="336" customFormat="false" ht="15" hidden="false" customHeight="false" outlineLevel="0" collapsed="false">
      <c r="A336" s="25"/>
      <c r="B336" s="25"/>
      <c r="C336" s="29" t="str">
        <f aca="false">IF($B336="","",IFERROR(INDEX(Projects!$B$5:$B$204,MATCH($B336,Projects!$A$5:$A$204,0)),"Unknown project ID"))</f>
        <v/>
      </c>
      <c r="D336" s="25"/>
      <c r="E336" s="25"/>
      <c r="F336" s="25"/>
      <c r="G336" s="25"/>
      <c r="H336" s="25"/>
      <c r="I336" s="26"/>
      <c r="J336" s="26"/>
      <c r="K336" s="26"/>
      <c r="L336" s="30" t="str">
        <f aca="true">IF(OR($J336="",$H336="Done",$H336="Cancelled"),"",$J336-TODAY())</f>
        <v/>
      </c>
      <c r="M336" s="29" t="str">
        <f aca="true">IF(AND($J336&lt;&gt;"",$H336&lt;&gt;"Done",$H336&lt;&gt;"Cancelled",$J336&lt;TODAY()),"OVERDUE","")</f>
        <v/>
      </c>
      <c r="N336" s="25"/>
      <c r="O336" s="26"/>
      <c r="P336" s="25"/>
    </row>
    <row r="337" customFormat="false" ht="15" hidden="false" customHeight="false" outlineLevel="0" collapsed="false">
      <c r="A337" s="25"/>
      <c r="B337" s="25"/>
      <c r="C337" s="29" t="str">
        <f aca="false">IF($B337="","",IFERROR(INDEX(Projects!$B$5:$B$204,MATCH($B337,Projects!$A$5:$A$204,0)),"Unknown project ID"))</f>
        <v/>
      </c>
      <c r="D337" s="25"/>
      <c r="E337" s="25"/>
      <c r="F337" s="25"/>
      <c r="G337" s="25"/>
      <c r="H337" s="25"/>
      <c r="I337" s="26"/>
      <c r="J337" s="26"/>
      <c r="K337" s="26"/>
      <c r="L337" s="30" t="str">
        <f aca="true">IF(OR($J337="",$H337="Done",$H337="Cancelled"),"",$J337-TODAY())</f>
        <v/>
      </c>
      <c r="M337" s="29" t="str">
        <f aca="true">IF(AND($J337&lt;&gt;"",$H337&lt;&gt;"Done",$H337&lt;&gt;"Cancelled",$J337&lt;TODAY()),"OVERDUE","")</f>
        <v/>
      </c>
      <c r="N337" s="25"/>
      <c r="O337" s="26"/>
      <c r="P337" s="25"/>
    </row>
    <row r="338" customFormat="false" ht="15" hidden="false" customHeight="false" outlineLevel="0" collapsed="false">
      <c r="A338" s="25"/>
      <c r="B338" s="25"/>
      <c r="C338" s="29" t="str">
        <f aca="false">IF($B338="","",IFERROR(INDEX(Projects!$B$5:$B$204,MATCH($B338,Projects!$A$5:$A$204,0)),"Unknown project ID"))</f>
        <v/>
      </c>
      <c r="D338" s="25"/>
      <c r="E338" s="25"/>
      <c r="F338" s="25"/>
      <c r="G338" s="25"/>
      <c r="H338" s="25"/>
      <c r="I338" s="26"/>
      <c r="J338" s="26"/>
      <c r="K338" s="26"/>
      <c r="L338" s="30" t="str">
        <f aca="true">IF(OR($J338="",$H338="Done",$H338="Cancelled"),"",$J338-TODAY())</f>
        <v/>
      </c>
      <c r="M338" s="29" t="str">
        <f aca="true">IF(AND($J338&lt;&gt;"",$H338&lt;&gt;"Done",$H338&lt;&gt;"Cancelled",$J338&lt;TODAY()),"OVERDUE","")</f>
        <v/>
      </c>
      <c r="N338" s="25"/>
      <c r="O338" s="26"/>
      <c r="P338" s="25"/>
    </row>
    <row r="339" customFormat="false" ht="15" hidden="false" customHeight="false" outlineLevel="0" collapsed="false">
      <c r="A339" s="25"/>
      <c r="B339" s="25"/>
      <c r="C339" s="29" t="str">
        <f aca="false">IF($B339="","",IFERROR(INDEX(Projects!$B$5:$B$204,MATCH($B339,Projects!$A$5:$A$204,0)),"Unknown project ID"))</f>
        <v/>
      </c>
      <c r="D339" s="25"/>
      <c r="E339" s="25"/>
      <c r="F339" s="25"/>
      <c r="G339" s="25"/>
      <c r="H339" s="25"/>
      <c r="I339" s="26"/>
      <c r="J339" s="26"/>
      <c r="K339" s="26"/>
      <c r="L339" s="30" t="str">
        <f aca="true">IF(OR($J339="",$H339="Done",$H339="Cancelled"),"",$J339-TODAY())</f>
        <v/>
      </c>
      <c r="M339" s="29" t="str">
        <f aca="true">IF(AND($J339&lt;&gt;"",$H339&lt;&gt;"Done",$H339&lt;&gt;"Cancelled",$J339&lt;TODAY()),"OVERDUE","")</f>
        <v/>
      </c>
      <c r="N339" s="25"/>
      <c r="O339" s="26"/>
      <c r="P339" s="25"/>
    </row>
    <row r="340" customFormat="false" ht="15" hidden="false" customHeight="false" outlineLevel="0" collapsed="false">
      <c r="A340" s="25"/>
      <c r="B340" s="25"/>
      <c r="C340" s="29" t="str">
        <f aca="false">IF($B340="","",IFERROR(INDEX(Projects!$B$5:$B$204,MATCH($B340,Projects!$A$5:$A$204,0)),"Unknown project ID"))</f>
        <v/>
      </c>
      <c r="D340" s="25"/>
      <c r="E340" s="25"/>
      <c r="F340" s="25"/>
      <c r="G340" s="25"/>
      <c r="H340" s="25"/>
      <c r="I340" s="26"/>
      <c r="J340" s="26"/>
      <c r="K340" s="26"/>
      <c r="L340" s="30" t="str">
        <f aca="true">IF(OR($J340="",$H340="Done",$H340="Cancelled"),"",$J340-TODAY())</f>
        <v/>
      </c>
      <c r="M340" s="29" t="str">
        <f aca="true">IF(AND($J340&lt;&gt;"",$H340&lt;&gt;"Done",$H340&lt;&gt;"Cancelled",$J340&lt;TODAY()),"OVERDUE","")</f>
        <v/>
      </c>
      <c r="N340" s="25"/>
      <c r="O340" s="26"/>
      <c r="P340" s="25"/>
    </row>
    <row r="341" customFormat="false" ht="15" hidden="false" customHeight="false" outlineLevel="0" collapsed="false">
      <c r="A341" s="25"/>
      <c r="B341" s="25"/>
      <c r="C341" s="29" t="str">
        <f aca="false">IF($B341="","",IFERROR(INDEX(Projects!$B$5:$B$204,MATCH($B341,Projects!$A$5:$A$204,0)),"Unknown project ID"))</f>
        <v/>
      </c>
      <c r="D341" s="25"/>
      <c r="E341" s="25"/>
      <c r="F341" s="25"/>
      <c r="G341" s="25"/>
      <c r="H341" s="25"/>
      <c r="I341" s="26"/>
      <c r="J341" s="26"/>
      <c r="K341" s="26"/>
      <c r="L341" s="30" t="str">
        <f aca="true">IF(OR($J341="",$H341="Done",$H341="Cancelled"),"",$J341-TODAY())</f>
        <v/>
      </c>
      <c r="M341" s="29" t="str">
        <f aca="true">IF(AND($J341&lt;&gt;"",$H341&lt;&gt;"Done",$H341&lt;&gt;"Cancelled",$J341&lt;TODAY()),"OVERDUE","")</f>
        <v/>
      </c>
      <c r="N341" s="25"/>
      <c r="O341" s="26"/>
      <c r="P341" s="25"/>
    </row>
    <row r="342" customFormat="false" ht="15" hidden="false" customHeight="false" outlineLevel="0" collapsed="false">
      <c r="A342" s="25"/>
      <c r="B342" s="25"/>
      <c r="C342" s="29" t="str">
        <f aca="false">IF($B342="","",IFERROR(INDEX(Projects!$B$5:$B$204,MATCH($B342,Projects!$A$5:$A$204,0)),"Unknown project ID"))</f>
        <v/>
      </c>
      <c r="D342" s="25"/>
      <c r="E342" s="25"/>
      <c r="F342" s="25"/>
      <c r="G342" s="25"/>
      <c r="H342" s="25"/>
      <c r="I342" s="26"/>
      <c r="J342" s="26"/>
      <c r="K342" s="26"/>
      <c r="L342" s="30" t="str">
        <f aca="true">IF(OR($J342="",$H342="Done",$H342="Cancelled"),"",$J342-TODAY())</f>
        <v/>
      </c>
      <c r="M342" s="29" t="str">
        <f aca="true">IF(AND($J342&lt;&gt;"",$H342&lt;&gt;"Done",$H342&lt;&gt;"Cancelled",$J342&lt;TODAY()),"OVERDUE","")</f>
        <v/>
      </c>
      <c r="N342" s="25"/>
      <c r="O342" s="26"/>
      <c r="P342" s="25"/>
    </row>
    <row r="343" customFormat="false" ht="15" hidden="false" customHeight="false" outlineLevel="0" collapsed="false">
      <c r="A343" s="25"/>
      <c r="B343" s="25"/>
      <c r="C343" s="29" t="str">
        <f aca="false">IF($B343="","",IFERROR(INDEX(Projects!$B$5:$B$204,MATCH($B343,Projects!$A$5:$A$204,0)),"Unknown project ID"))</f>
        <v/>
      </c>
      <c r="D343" s="25"/>
      <c r="E343" s="25"/>
      <c r="F343" s="25"/>
      <c r="G343" s="25"/>
      <c r="H343" s="25"/>
      <c r="I343" s="26"/>
      <c r="J343" s="26"/>
      <c r="K343" s="26"/>
      <c r="L343" s="30" t="str">
        <f aca="true">IF(OR($J343="",$H343="Done",$H343="Cancelled"),"",$J343-TODAY())</f>
        <v/>
      </c>
      <c r="M343" s="29" t="str">
        <f aca="true">IF(AND($J343&lt;&gt;"",$H343&lt;&gt;"Done",$H343&lt;&gt;"Cancelled",$J343&lt;TODAY()),"OVERDUE","")</f>
        <v/>
      </c>
      <c r="N343" s="25"/>
      <c r="O343" s="26"/>
      <c r="P343" s="25"/>
    </row>
    <row r="344" customFormat="false" ht="15" hidden="false" customHeight="false" outlineLevel="0" collapsed="false">
      <c r="A344" s="25"/>
      <c r="B344" s="25"/>
      <c r="C344" s="29" t="str">
        <f aca="false">IF($B344="","",IFERROR(INDEX(Projects!$B$5:$B$204,MATCH($B344,Projects!$A$5:$A$204,0)),"Unknown project ID"))</f>
        <v/>
      </c>
      <c r="D344" s="25"/>
      <c r="E344" s="25"/>
      <c r="F344" s="25"/>
      <c r="G344" s="25"/>
      <c r="H344" s="25"/>
      <c r="I344" s="26"/>
      <c r="J344" s="26"/>
      <c r="K344" s="26"/>
      <c r="L344" s="30" t="str">
        <f aca="true">IF(OR($J344="",$H344="Done",$H344="Cancelled"),"",$J344-TODAY())</f>
        <v/>
      </c>
      <c r="M344" s="29" t="str">
        <f aca="true">IF(AND($J344&lt;&gt;"",$H344&lt;&gt;"Done",$H344&lt;&gt;"Cancelled",$J344&lt;TODAY()),"OVERDUE","")</f>
        <v/>
      </c>
      <c r="N344" s="25"/>
      <c r="O344" s="26"/>
      <c r="P344" s="25"/>
    </row>
    <row r="345" customFormat="false" ht="15" hidden="false" customHeight="false" outlineLevel="0" collapsed="false">
      <c r="A345" s="25"/>
      <c r="B345" s="25"/>
      <c r="C345" s="29" t="str">
        <f aca="false">IF($B345="","",IFERROR(INDEX(Projects!$B$5:$B$204,MATCH($B345,Projects!$A$5:$A$204,0)),"Unknown project ID"))</f>
        <v/>
      </c>
      <c r="D345" s="25"/>
      <c r="E345" s="25"/>
      <c r="F345" s="25"/>
      <c r="G345" s="25"/>
      <c r="H345" s="25"/>
      <c r="I345" s="26"/>
      <c r="J345" s="26"/>
      <c r="K345" s="26"/>
      <c r="L345" s="30" t="str">
        <f aca="true">IF(OR($J345="",$H345="Done",$H345="Cancelled"),"",$J345-TODAY())</f>
        <v/>
      </c>
      <c r="M345" s="29" t="str">
        <f aca="true">IF(AND($J345&lt;&gt;"",$H345&lt;&gt;"Done",$H345&lt;&gt;"Cancelled",$J345&lt;TODAY()),"OVERDUE","")</f>
        <v/>
      </c>
      <c r="N345" s="25"/>
      <c r="O345" s="26"/>
      <c r="P345" s="25"/>
    </row>
    <row r="346" customFormat="false" ht="15" hidden="false" customHeight="false" outlineLevel="0" collapsed="false">
      <c r="A346" s="25"/>
      <c r="B346" s="25"/>
      <c r="C346" s="29" t="str">
        <f aca="false">IF($B346="","",IFERROR(INDEX(Projects!$B$5:$B$204,MATCH($B346,Projects!$A$5:$A$204,0)),"Unknown project ID"))</f>
        <v/>
      </c>
      <c r="D346" s="25"/>
      <c r="E346" s="25"/>
      <c r="F346" s="25"/>
      <c r="G346" s="25"/>
      <c r="H346" s="25"/>
      <c r="I346" s="26"/>
      <c r="J346" s="26"/>
      <c r="K346" s="26"/>
      <c r="L346" s="30" t="str">
        <f aca="true">IF(OR($J346="",$H346="Done",$H346="Cancelled"),"",$J346-TODAY())</f>
        <v/>
      </c>
      <c r="M346" s="29" t="str">
        <f aca="true">IF(AND($J346&lt;&gt;"",$H346&lt;&gt;"Done",$H346&lt;&gt;"Cancelled",$J346&lt;TODAY()),"OVERDUE","")</f>
        <v/>
      </c>
      <c r="N346" s="25"/>
      <c r="O346" s="26"/>
      <c r="P346" s="25"/>
    </row>
    <row r="347" customFormat="false" ht="15" hidden="false" customHeight="false" outlineLevel="0" collapsed="false">
      <c r="A347" s="25"/>
      <c r="B347" s="25"/>
      <c r="C347" s="29" t="str">
        <f aca="false">IF($B347="","",IFERROR(INDEX(Projects!$B$5:$B$204,MATCH($B347,Projects!$A$5:$A$204,0)),"Unknown project ID"))</f>
        <v/>
      </c>
      <c r="D347" s="25"/>
      <c r="E347" s="25"/>
      <c r="F347" s="25"/>
      <c r="G347" s="25"/>
      <c r="H347" s="25"/>
      <c r="I347" s="26"/>
      <c r="J347" s="26"/>
      <c r="K347" s="26"/>
      <c r="L347" s="30" t="str">
        <f aca="true">IF(OR($J347="",$H347="Done",$H347="Cancelled"),"",$J347-TODAY())</f>
        <v/>
      </c>
      <c r="M347" s="29" t="str">
        <f aca="true">IF(AND($J347&lt;&gt;"",$H347&lt;&gt;"Done",$H347&lt;&gt;"Cancelled",$J347&lt;TODAY()),"OVERDUE","")</f>
        <v/>
      </c>
      <c r="N347" s="25"/>
      <c r="O347" s="26"/>
      <c r="P347" s="25"/>
    </row>
    <row r="348" customFormat="false" ht="15" hidden="false" customHeight="false" outlineLevel="0" collapsed="false">
      <c r="A348" s="25"/>
      <c r="B348" s="25"/>
      <c r="C348" s="29" t="str">
        <f aca="false">IF($B348="","",IFERROR(INDEX(Projects!$B$5:$B$204,MATCH($B348,Projects!$A$5:$A$204,0)),"Unknown project ID"))</f>
        <v/>
      </c>
      <c r="D348" s="25"/>
      <c r="E348" s="25"/>
      <c r="F348" s="25"/>
      <c r="G348" s="25"/>
      <c r="H348" s="25"/>
      <c r="I348" s="26"/>
      <c r="J348" s="26"/>
      <c r="K348" s="26"/>
      <c r="L348" s="30" t="str">
        <f aca="true">IF(OR($J348="",$H348="Done",$H348="Cancelled"),"",$J348-TODAY())</f>
        <v/>
      </c>
      <c r="M348" s="29" t="str">
        <f aca="true">IF(AND($J348&lt;&gt;"",$H348&lt;&gt;"Done",$H348&lt;&gt;"Cancelled",$J348&lt;TODAY()),"OVERDUE","")</f>
        <v/>
      </c>
      <c r="N348" s="25"/>
      <c r="O348" s="26"/>
      <c r="P348" s="25"/>
    </row>
    <row r="349" customFormat="false" ht="15" hidden="false" customHeight="false" outlineLevel="0" collapsed="false">
      <c r="A349" s="25"/>
      <c r="B349" s="25"/>
      <c r="C349" s="29" t="str">
        <f aca="false">IF($B349="","",IFERROR(INDEX(Projects!$B$5:$B$204,MATCH($B349,Projects!$A$5:$A$204,0)),"Unknown project ID"))</f>
        <v/>
      </c>
      <c r="D349" s="25"/>
      <c r="E349" s="25"/>
      <c r="F349" s="25"/>
      <c r="G349" s="25"/>
      <c r="H349" s="25"/>
      <c r="I349" s="26"/>
      <c r="J349" s="26"/>
      <c r="K349" s="26"/>
      <c r="L349" s="30" t="str">
        <f aca="true">IF(OR($J349="",$H349="Done",$H349="Cancelled"),"",$J349-TODAY())</f>
        <v/>
      </c>
      <c r="M349" s="29" t="str">
        <f aca="true">IF(AND($J349&lt;&gt;"",$H349&lt;&gt;"Done",$H349&lt;&gt;"Cancelled",$J349&lt;TODAY()),"OVERDUE","")</f>
        <v/>
      </c>
      <c r="N349" s="25"/>
      <c r="O349" s="26"/>
      <c r="P349" s="25"/>
    </row>
    <row r="350" customFormat="false" ht="15" hidden="false" customHeight="false" outlineLevel="0" collapsed="false">
      <c r="A350" s="25"/>
      <c r="B350" s="25"/>
      <c r="C350" s="29" t="str">
        <f aca="false">IF($B350="","",IFERROR(INDEX(Projects!$B$5:$B$204,MATCH($B350,Projects!$A$5:$A$204,0)),"Unknown project ID"))</f>
        <v/>
      </c>
      <c r="D350" s="25"/>
      <c r="E350" s="25"/>
      <c r="F350" s="25"/>
      <c r="G350" s="25"/>
      <c r="H350" s="25"/>
      <c r="I350" s="26"/>
      <c r="J350" s="26"/>
      <c r="K350" s="26"/>
      <c r="L350" s="30" t="str">
        <f aca="true">IF(OR($J350="",$H350="Done",$H350="Cancelled"),"",$J350-TODAY())</f>
        <v/>
      </c>
      <c r="M350" s="29" t="str">
        <f aca="true">IF(AND($J350&lt;&gt;"",$H350&lt;&gt;"Done",$H350&lt;&gt;"Cancelled",$J350&lt;TODAY()),"OVERDUE","")</f>
        <v/>
      </c>
      <c r="N350" s="25"/>
      <c r="O350" s="26"/>
      <c r="P350" s="25"/>
    </row>
    <row r="351" customFormat="false" ht="15" hidden="false" customHeight="false" outlineLevel="0" collapsed="false">
      <c r="A351" s="25"/>
      <c r="B351" s="25"/>
      <c r="C351" s="29" t="str">
        <f aca="false">IF($B351="","",IFERROR(INDEX(Projects!$B$5:$B$204,MATCH($B351,Projects!$A$5:$A$204,0)),"Unknown project ID"))</f>
        <v/>
      </c>
      <c r="D351" s="25"/>
      <c r="E351" s="25"/>
      <c r="F351" s="25"/>
      <c r="G351" s="25"/>
      <c r="H351" s="25"/>
      <c r="I351" s="26"/>
      <c r="J351" s="26"/>
      <c r="K351" s="26"/>
      <c r="L351" s="30" t="str">
        <f aca="true">IF(OR($J351="",$H351="Done",$H351="Cancelled"),"",$J351-TODAY())</f>
        <v/>
      </c>
      <c r="M351" s="29" t="str">
        <f aca="true">IF(AND($J351&lt;&gt;"",$H351&lt;&gt;"Done",$H351&lt;&gt;"Cancelled",$J351&lt;TODAY()),"OVERDUE","")</f>
        <v/>
      </c>
      <c r="N351" s="25"/>
      <c r="O351" s="26"/>
      <c r="P351" s="25"/>
    </row>
    <row r="352" customFormat="false" ht="15" hidden="false" customHeight="false" outlineLevel="0" collapsed="false">
      <c r="A352" s="25"/>
      <c r="B352" s="25"/>
      <c r="C352" s="29" t="str">
        <f aca="false">IF($B352="","",IFERROR(INDEX(Projects!$B$5:$B$204,MATCH($B352,Projects!$A$5:$A$204,0)),"Unknown project ID"))</f>
        <v/>
      </c>
      <c r="D352" s="25"/>
      <c r="E352" s="25"/>
      <c r="F352" s="25"/>
      <c r="G352" s="25"/>
      <c r="H352" s="25"/>
      <c r="I352" s="26"/>
      <c r="J352" s="26"/>
      <c r="K352" s="26"/>
      <c r="L352" s="30" t="str">
        <f aca="true">IF(OR($J352="",$H352="Done",$H352="Cancelled"),"",$J352-TODAY())</f>
        <v/>
      </c>
      <c r="M352" s="29" t="str">
        <f aca="true">IF(AND($J352&lt;&gt;"",$H352&lt;&gt;"Done",$H352&lt;&gt;"Cancelled",$J352&lt;TODAY()),"OVERDUE","")</f>
        <v/>
      </c>
      <c r="N352" s="25"/>
      <c r="O352" s="26"/>
      <c r="P352" s="25"/>
    </row>
    <row r="353" customFormat="false" ht="15" hidden="false" customHeight="false" outlineLevel="0" collapsed="false">
      <c r="A353" s="25"/>
      <c r="B353" s="25"/>
      <c r="C353" s="29" t="str">
        <f aca="false">IF($B353="","",IFERROR(INDEX(Projects!$B$5:$B$204,MATCH($B353,Projects!$A$5:$A$204,0)),"Unknown project ID"))</f>
        <v/>
      </c>
      <c r="D353" s="25"/>
      <c r="E353" s="25"/>
      <c r="F353" s="25"/>
      <c r="G353" s="25"/>
      <c r="H353" s="25"/>
      <c r="I353" s="26"/>
      <c r="J353" s="26"/>
      <c r="K353" s="26"/>
      <c r="L353" s="30" t="str">
        <f aca="true">IF(OR($J353="",$H353="Done",$H353="Cancelled"),"",$J353-TODAY())</f>
        <v/>
      </c>
      <c r="M353" s="29" t="str">
        <f aca="true">IF(AND($J353&lt;&gt;"",$H353&lt;&gt;"Done",$H353&lt;&gt;"Cancelled",$J353&lt;TODAY()),"OVERDUE","")</f>
        <v/>
      </c>
      <c r="N353" s="25"/>
      <c r="O353" s="26"/>
      <c r="P353" s="25"/>
    </row>
    <row r="354" customFormat="false" ht="15" hidden="false" customHeight="false" outlineLevel="0" collapsed="false">
      <c r="A354" s="25"/>
      <c r="B354" s="25"/>
      <c r="C354" s="29" t="str">
        <f aca="false">IF($B354="","",IFERROR(INDEX(Projects!$B$5:$B$204,MATCH($B354,Projects!$A$5:$A$204,0)),"Unknown project ID"))</f>
        <v/>
      </c>
      <c r="D354" s="25"/>
      <c r="E354" s="25"/>
      <c r="F354" s="25"/>
      <c r="G354" s="25"/>
      <c r="H354" s="25"/>
      <c r="I354" s="26"/>
      <c r="J354" s="26"/>
      <c r="K354" s="26"/>
      <c r="L354" s="30" t="str">
        <f aca="true">IF(OR($J354="",$H354="Done",$H354="Cancelled"),"",$J354-TODAY())</f>
        <v/>
      </c>
      <c r="M354" s="29" t="str">
        <f aca="true">IF(AND($J354&lt;&gt;"",$H354&lt;&gt;"Done",$H354&lt;&gt;"Cancelled",$J354&lt;TODAY()),"OVERDUE","")</f>
        <v/>
      </c>
      <c r="N354" s="25"/>
      <c r="O354" s="26"/>
      <c r="P354" s="25"/>
    </row>
    <row r="355" customFormat="false" ht="15" hidden="false" customHeight="false" outlineLevel="0" collapsed="false">
      <c r="A355" s="25"/>
      <c r="B355" s="25"/>
      <c r="C355" s="29" t="str">
        <f aca="false">IF($B355="","",IFERROR(INDEX(Projects!$B$5:$B$204,MATCH($B355,Projects!$A$5:$A$204,0)),"Unknown project ID"))</f>
        <v/>
      </c>
      <c r="D355" s="25"/>
      <c r="E355" s="25"/>
      <c r="F355" s="25"/>
      <c r="G355" s="25"/>
      <c r="H355" s="25"/>
      <c r="I355" s="26"/>
      <c r="J355" s="26"/>
      <c r="K355" s="26"/>
      <c r="L355" s="30" t="str">
        <f aca="true">IF(OR($J355="",$H355="Done",$H355="Cancelled"),"",$J355-TODAY())</f>
        <v/>
      </c>
      <c r="M355" s="29" t="str">
        <f aca="true">IF(AND($J355&lt;&gt;"",$H355&lt;&gt;"Done",$H355&lt;&gt;"Cancelled",$J355&lt;TODAY()),"OVERDUE","")</f>
        <v/>
      </c>
      <c r="N355" s="25"/>
      <c r="O355" s="26"/>
      <c r="P355" s="25"/>
    </row>
    <row r="356" customFormat="false" ht="15" hidden="false" customHeight="false" outlineLevel="0" collapsed="false">
      <c r="A356" s="25"/>
      <c r="B356" s="25"/>
      <c r="C356" s="29" t="str">
        <f aca="false">IF($B356="","",IFERROR(INDEX(Projects!$B$5:$B$204,MATCH($B356,Projects!$A$5:$A$204,0)),"Unknown project ID"))</f>
        <v/>
      </c>
      <c r="D356" s="25"/>
      <c r="E356" s="25"/>
      <c r="F356" s="25"/>
      <c r="G356" s="25"/>
      <c r="H356" s="25"/>
      <c r="I356" s="26"/>
      <c r="J356" s="26"/>
      <c r="K356" s="26"/>
      <c r="L356" s="30" t="str">
        <f aca="true">IF(OR($J356="",$H356="Done",$H356="Cancelled"),"",$J356-TODAY())</f>
        <v/>
      </c>
      <c r="M356" s="29" t="str">
        <f aca="true">IF(AND($J356&lt;&gt;"",$H356&lt;&gt;"Done",$H356&lt;&gt;"Cancelled",$J356&lt;TODAY()),"OVERDUE","")</f>
        <v/>
      </c>
      <c r="N356" s="25"/>
      <c r="O356" s="26"/>
      <c r="P356" s="25"/>
    </row>
    <row r="357" customFormat="false" ht="15" hidden="false" customHeight="false" outlineLevel="0" collapsed="false">
      <c r="A357" s="25"/>
      <c r="B357" s="25"/>
      <c r="C357" s="29" t="str">
        <f aca="false">IF($B357="","",IFERROR(INDEX(Projects!$B$5:$B$204,MATCH($B357,Projects!$A$5:$A$204,0)),"Unknown project ID"))</f>
        <v/>
      </c>
      <c r="D357" s="25"/>
      <c r="E357" s="25"/>
      <c r="F357" s="25"/>
      <c r="G357" s="25"/>
      <c r="H357" s="25"/>
      <c r="I357" s="26"/>
      <c r="J357" s="26"/>
      <c r="K357" s="26"/>
      <c r="L357" s="30" t="str">
        <f aca="true">IF(OR($J357="",$H357="Done",$H357="Cancelled"),"",$J357-TODAY())</f>
        <v/>
      </c>
      <c r="M357" s="29" t="str">
        <f aca="true">IF(AND($J357&lt;&gt;"",$H357&lt;&gt;"Done",$H357&lt;&gt;"Cancelled",$J357&lt;TODAY()),"OVERDUE","")</f>
        <v/>
      </c>
      <c r="N357" s="25"/>
      <c r="O357" s="26"/>
      <c r="P357" s="25"/>
    </row>
    <row r="358" customFormat="false" ht="15" hidden="false" customHeight="false" outlineLevel="0" collapsed="false">
      <c r="A358" s="25"/>
      <c r="B358" s="25"/>
      <c r="C358" s="29" t="str">
        <f aca="false">IF($B358="","",IFERROR(INDEX(Projects!$B$5:$B$204,MATCH($B358,Projects!$A$5:$A$204,0)),"Unknown project ID"))</f>
        <v/>
      </c>
      <c r="D358" s="25"/>
      <c r="E358" s="25"/>
      <c r="F358" s="25"/>
      <c r="G358" s="25"/>
      <c r="H358" s="25"/>
      <c r="I358" s="26"/>
      <c r="J358" s="26"/>
      <c r="K358" s="26"/>
      <c r="L358" s="30" t="str">
        <f aca="true">IF(OR($J358="",$H358="Done",$H358="Cancelled"),"",$J358-TODAY())</f>
        <v/>
      </c>
      <c r="M358" s="29" t="str">
        <f aca="true">IF(AND($J358&lt;&gt;"",$H358&lt;&gt;"Done",$H358&lt;&gt;"Cancelled",$J358&lt;TODAY()),"OVERDUE","")</f>
        <v/>
      </c>
      <c r="N358" s="25"/>
      <c r="O358" s="26"/>
      <c r="P358" s="25"/>
    </row>
    <row r="359" customFormat="false" ht="15" hidden="false" customHeight="false" outlineLevel="0" collapsed="false">
      <c r="A359" s="25"/>
      <c r="B359" s="25"/>
      <c r="C359" s="29" t="str">
        <f aca="false">IF($B359="","",IFERROR(INDEX(Projects!$B$5:$B$204,MATCH($B359,Projects!$A$5:$A$204,0)),"Unknown project ID"))</f>
        <v/>
      </c>
      <c r="D359" s="25"/>
      <c r="E359" s="25"/>
      <c r="F359" s="25"/>
      <c r="G359" s="25"/>
      <c r="H359" s="25"/>
      <c r="I359" s="26"/>
      <c r="J359" s="26"/>
      <c r="K359" s="26"/>
      <c r="L359" s="30" t="str">
        <f aca="true">IF(OR($J359="",$H359="Done",$H359="Cancelled"),"",$J359-TODAY())</f>
        <v/>
      </c>
      <c r="M359" s="29" t="str">
        <f aca="true">IF(AND($J359&lt;&gt;"",$H359&lt;&gt;"Done",$H359&lt;&gt;"Cancelled",$J359&lt;TODAY()),"OVERDUE","")</f>
        <v/>
      </c>
      <c r="N359" s="25"/>
      <c r="O359" s="26"/>
      <c r="P359" s="25"/>
    </row>
    <row r="360" customFormat="false" ht="15" hidden="false" customHeight="false" outlineLevel="0" collapsed="false">
      <c r="A360" s="25"/>
      <c r="B360" s="25"/>
      <c r="C360" s="29" t="str">
        <f aca="false">IF($B360="","",IFERROR(INDEX(Projects!$B$5:$B$204,MATCH($B360,Projects!$A$5:$A$204,0)),"Unknown project ID"))</f>
        <v/>
      </c>
      <c r="D360" s="25"/>
      <c r="E360" s="25"/>
      <c r="F360" s="25"/>
      <c r="G360" s="25"/>
      <c r="H360" s="25"/>
      <c r="I360" s="26"/>
      <c r="J360" s="26"/>
      <c r="K360" s="26"/>
      <c r="L360" s="30" t="str">
        <f aca="true">IF(OR($J360="",$H360="Done",$H360="Cancelled"),"",$J360-TODAY())</f>
        <v/>
      </c>
      <c r="M360" s="29" t="str">
        <f aca="true">IF(AND($J360&lt;&gt;"",$H360&lt;&gt;"Done",$H360&lt;&gt;"Cancelled",$J360&lt;TODAY()),"OVERDUE","")</f>
        <v/>
      </c>
      <c r="N360" s="25"/>
      <c r="O360" s="26"/>
      <c r="P360" s="25"/>
    </row>
    <row r="361" customFormat="false" ht="15" hidden="false" customHeight="false" outlineLevel="0" collapsed="false">
      <c r="A361" s="25"/>
      <c r="B361" s="25"/>
      <c r="C361" s="29" t="str">
        <f aca="false">IF($B361="","",IFERROR(INDEX(Projects!$B$5:$B$204,MATCH($B361,Projects!$A$5:$A$204,0)),"Unknown project ID"))</f>
        <v/>
      </c>
      <c r="D361" s="25"/>
      <c r="E361" s="25"/>
      <c r="F361" s="25"/>
      <c r="G361" s="25"/>
      <c r="H361" s="25"/>
      <c r="I361" s="26"/>
      <c r="J361" s="26"/>
      <c r="K361" s="26"/>
      <c r="L361" s="30" t="str">
        <f aca="true">IF(OR($J361="",$H361="Done",$H361="Cancelled"),"",$J361-TODAY())</f>
        <v/>
      </c>
      <c r="M361" s="29" t="str">
        <f aca="true">IF(AND($J361&lt;&gt;"",$H361&lt;&gt;"Done",$H361&lt;&gt;"Cancelled",$J361&lt;TODAY()),"OVERDUE","")</f>
        <v/>
      </c>
      <c r="N361" s="25"/>
      <c r="O361" s="26"/>
      <c r="P361" s="25"/>
    </row>
    <row r="362" customFormat="false" ht="15" hidden="false" customHeight="false" outlineLevel="0" collapsed="false">
      <c r="A362" s="25"/>
      <c r="B362" s="25"/>
      <c r="C362" s="29" t="str">
        <f aca="false">IF($B362="","",IFERROR(INDEX(Projects!$B$5:$B$204,MATCH($B362,Projects!$A$5:$A$204,0)),"Unknown project ID"))</f>
        <v/>
      </c>
      <c r="D362" s="25"/>
      <c r="E362" s="25"/>
      <c r="F362" s="25"/>
      <c r="G362" s="25"/>
      <c r="H362" s="25"/>
      <c r="I362" s="26"/>
      <c r="J362" s="26"/>
      <c r="K362" s="26"/>
      <c r="L362" s="30" t="str">
        <f aca="true">IF(OR($J362="",$H362="Done",$H362="Cancelled"),"",$J362-TODAY())</f>
        <v/>
      </c>
      <c r="M362" s="29" t="str">
        <f aca="true">IF(AND($J362&lt;&gt;"",$H362&lt;&gt;"Done",$H362&lt;&gt;"Cancelled",$J362&lt;TODAY()),"OVERDUE","")</f>
        <v/>
      </c>
      <c r="N362" s="25"/>
      <c r="O362" s="26"/>
      <c r="P362" s="25"/>
    </row>
    <row r="363" customFormat="false" ht="15" hidden="false" customHeight="false" outlineLevel="0" collapsed="false">
      <c r="A363" s="25"/>
      <c r="B363" s="25"/>
      <c r="C363" s="29" t="str">
        <f aca="false">IF($B363="","",IFERROR(INDEX(Projects!$B$5:$B$204,MATCH($B363,Projects!$A$5:$A$204,0)),"Unknown project ID"))</f>
        <v/>
      </c>
      <c r="D363" s="25"/>
      <c r="E363" s="25"/>
      <c r="F363" s="25"/>
      <c r="G363" s="25"/>
      <c r="H363" s="25"/>
      <c r="I363" s="26"/>
      <c r="J363" s="26"/>
      <c r="K363" s="26"/>
      <c r="L363" s="30" t="str">
        <f aca="true">IF(OR($J363="",$H363="Done",$H363="Cancelled"),"",$J363-TODAY())</f>
        <v/>
      </c>
      <c r="M363" s="29" t="str">
        <f aca="true">IF(AND($J363&lt;&gt;"",$H363&lt;&gt;"Done",$H363&lt;&gt;"Cancelled",$J363&lt;TODAY()),"OVERDUE","")</f>
        <v/>
      </c>
      <c r="N363" s="25"/>
      <c r="O363" s="26"/>
      <c r="P363" s="25"/>
    </row>
    <row r="364" customFormat="false" ht="15" hidden="false" customHeight="false" outlineLevel="0" collapsed="false">
      <c r="A364" s="25"/>
      <c r="B364" s="25"/>
      <c r="C364" s="29" t="str">
        <f aca="false">IF($B364="","",IFERROR(INDEX(Projects!$B$5:$B$204,MATCH($B364,Projects!$A$5:$A$204,0)),"Unknown project ID"))</f>
        <v/>
      </c>
      <c r="D364" s="25"/>
      <c r="E364" s="25"/>
      <c r="F364" s="25"/>
      <c r="G364" s="25"/>
      <c r="H364" s="25"/>
      <c r="I364" s="26"/>
      <c r="J364" s="26"/>
      <c r="K364" s="26"/>
      <c r="L364" s="30" t="str">
        <f aca="true">IF(OR($J364="",$H364="Done",$H364="Cancelled"),"",$J364-TODAY())</f>
        <v/>
      </c>
      <c r="M364" s="29" t="str">
        <f aca="true">IF(AND($J364&lt;&gt;"",$H364&lt;&gt;"Done",$H364&lt;&gt;"Cancelled",$J364&lt;TODAY()),"OVERDUE","")</f>
        <v/>
      </c>
      <c r="N364" s="25"/>
      <c r="O364" s="26"/>
      <c r="P364" s="25"/>
    </row>
    <row r="365" customFormat="false" ht="15" hidden="false" customHeight="false" outlineLevel="0" collapsed="false">
      <c r="A365" s="25"/>
      <c r="B365" s="25"/>
      <c r="C365" s="29" t="str">
        <f aca="false">IF($B365="","",IFERROR(INDEX(Projects!$B$5:$B$204,MATCH($B365,Projects!$A$5:$A$204,0)),"Unknown project ID"))</f>
        <v/>
      </c>
      <c r="D365" s="25"/>
      <c r="E365" s="25"/>
      <c r="F365" s="25"/>
      <c r="G365" s="25"/>
      <c r="H365" s="25"/>
      <c r="I365" s="26"/>
      <c r="J365" s="26"/>
      <c r="K365" s="26"/>
      <c r="L365" s="30" t="str">
        <f aca="true">IF(OR($J365="",$H365="Done",$H365="Cancelled"),"",$J365-TODAY())</f>
        <v/>
      </c>
      <c r="M365" s="29" t="str">
        <f aca="true">IF(AND($J365&lt;&gt;"",$H365&lt;&gt;"Done",$H365&lt;&gt;"Cancelled",$J365&lt;TODAY()),"OVERDUE","")</f>
        <v/>
      </c>
      <c r="N365" s="25"/>
      <c r="O365" s="26"/>
      <c r="P365" s="25"/>
    </row>
    <row r="366" customFormat="false" ht="15" hidden="false" customHeight="false" outlineLevel="0" collapsed="false">
      <c r="A366" s="25"/>
      <c r="B366" s="25"/>
      <c r="C366" s="29" t="str">
        <f aca="false">IF($B366="","",IFERROR(INDEX(Projects!$B$5:$B$204,MATCH($B366,Projects!$A$5:$A$204,0)),"Unknown project ID"))</f>
        <v/>
      </c>
      <c r="D366" s="25"/>
      <c r="E366" s="25"/>
      <c r="F366" s="25"/>
      <c r="G366" s="25"/>
      <c r="H366" s="25"/>
      <c r="I366" s="26"/>
      <c r="J366" s="26"/>
      <c r="K366" s="26"/>
      <c r="L366" s="30" t="str">
        <f aca="true">IF(OR($J366="",$H366="Done",$H366="Cancelled"),"",$J366-TODAY())</f>
        <v/>
      </c>
      <c r="M366" s="29" t="str">
        <f aca="true">IF(AND($J366&lt;&gt;"",$H366&lt;&gt;"Done",$H366&lt;&gt;"Cancelled",$J366&lt;TODAY()),"OVERDUE","")</f>
        <v/>
      </c>
      <c r="N366" s="25"/>
      <c r="O366" s="26"/>
      <c r="P366" s="25"/>
    </row>
    <row r="367" customFormat="false" ht="15" hidden="false" customHeight="false" outlineLevel="0" collapsed="false">
      <c r="A367" s="25"/>
      <c r="B367" s="25"/>
      <c r="C367" s="29" t="str">
        <f aca="false">IF($B367="","",IFERROR(INDEX(Projects!$B$5:$B$204,MATCH($B367,Projects!$A$5:$A$204,0)),"Unknown project ID"))</f>
        <v/>
      </c>
      <c r="D367" s="25"/>
      <c r="E367" s="25"/>
      <c r="F367" s="25"/>
      <c r="G367" s="25"/>
      <c r="H367" s="25"/>
      <c r="I367" s="26"/>
      <c r="J367" s="26"/>
      <c r="K367" s="26"/>
      <c r="L367" s="30" t="str">
        <f aca="true">IF(OR($J367="",$H367="Done",$H367="Cancelled"),"",$J367-TODAY())</f>
        <v/>
      </c>
      <c r="M367" s="29" t="str">
        <f aca="true">IF(AND($J367&lt;&gt;"",$H367&lt;&gt;"Done",$H367&lt;&gt;"Cancelled",$J367&lt;TODAY()),"OVERDUE","")</f>
        <v/>
      </c>
      <c r="N367" s="25"/>
      <c r="O367" s="26"/>
      <c r="P367" s="25"/>
    </row>
    <row r="368" customFormat="false" ht="15" hidden="false" customHeight="false" outlineLevel="0" collapsed="false">
      <c r="A368" s="25"/>
      <c r="B368" s="25"/>
      <c r="C368" s="29" t="str">
        <f aca="false">IF($B368="","",IFERROR(INDEX(Projects!$B$5:$B$204,MATCH($B368,Projects!$A$5:$A$204,0)),"Unknown project ID"))</f>
        <v/>
      </c>
      <c r="D368" s="25"/>
      <c r="E368" s="25"/>
      <c r="F368" s="25"/>
      <c r="G368" s="25"/>
      <c r="H368" s="25"/>
      <c r="I368" s="26"/>
      <c r="J368" s="26"/>
      <c r="K368" s="26"/>
      <c r="L368" s="30" t="str">
        <f aca="true">IF(OR($J368="",$H368="Done",$H368="Cancelled"),"",$J368-TODAY())</f>
        <v/>
      </c>
      <c r="M368" s="29" t="str">
        <f aca="true">IF(AND($J368&lt;&gt;"",$H368&lt;&gt;"Done",$H368&lt;&gt;"Cancelled",$J368&lt;TODAY()),"OVERDUE","")</f>
        <v/>
      </c>
      <c r="N368" s="25"/>
      <c r="O368" s="26"/>
      <c r="P368" s="25"/>
    </row>
    <row r="369" customFormat="false" ht="15" hidden="false" customHeight="false" outlineLevel="0" collapsed="false">
      <c r="A369" s="25"/>
      <c r="B369" s="25"/>
      <c r="C369" s="29" t="str">
        <f aca="false">IF($B369="","",IFERROR(INDEX(Projects!$B$5:$B$204,MATCH($B369,Projects!$A$5:$A$204,0)),"Unknown project ID"))</f>
        <v/>
      </c>
      <c r="D369" s="25"/>
      <c r="E369" s="25"/>
      <c r="F369" s="25"/>
      <c r="G369" s="25"/>
      <c r="H369" s="25"/>
      <c r="I369" s="26"/>
      <c r="J369" s="26"/>
      <c r="K369" s="26"/>
      <c r="L369" s="30" t="str">
        <f aca="true">IF(OR($J369="",$H369="Done",$H369="Cancelled"),"",$J369-TODAY())</f>
        <v/>
      </c>
      <c r="M369" s="29" t="str">
        <f aca="true">IF(AND($J369&lt;&gt;"",$H369&lt;&gt;"Done",$H369&lt;&gt;"Cancelled",$J369&lt;TODAY()),"OVERDUE","")</f>
        <v/>
      </c>
      <c r="N369" s="25"/>
      <c r="O369" s="26"/>
      <c r="P369" s="25"/>
    </row>
    <row r="370" customFormat="false" ht="15" hidden="false" customHeight="false" outlineLevel="0" collapsed="false">
      <c r="A370" s="25"/>
      <c r="B370" s="25"/>
      <c r="C370" s="29" t="str">
        <f aca="false">IF($B370="","",IFERROR(INDEX(Projects!$B$5:$B$204,MATCH($B370,Projects!$A$5:$A$204,0)),"Unknown project ID"))</f>
        <v/>
      </c>
      <c r="D370" s="25"/>
      <c r="E370" s="25"/>
      <c r="F370" s="25"/>
      <c r="G370" s="25"/>
      <c r="H370" s="25"/>
      <c r="I370" s="26"/>
      <c r="J370" s="26"/>
      <c r="K370" s="26"/>
      <c r="L370" s="30" t="str">
        <f aca="true">IF(OR($J370="",$H370="Done",$H370="Cancelled"),"",$J370-TODAY())</f>
        <v/>
      </c>
      <c r="M370" s="29" t="str">
        <f aca="true">IF(AND($J370&lt;&gt;"",$H370&lt;&gt;"Done",$H370&lt;&gt;"Cancelled",$J370&lt;TODAY()),"OVERDUE","")</f>
        <v/>
      </c>
      <c r="N370" s="25"/>
      <c r="O370" s="26"/>
      <c r="P370" s="25"/>
    </row>
    <row r="371" customFormat="false" ht="15" hidden="false" customHeight="false" outlineLevel="0" collapsed="false">
      <c r="A371" s="25"/>
      <c r="B371" s="25"/>
      <c r="C371" s="29" t="str">
        <f aca="false">IF($B371="","",IFERROR(INDEX(Projects!$B$5:$B$204,MATCH($B371,Projects!$A$5:$A$204,0)),"Unknown project ID"))</f>
        <v/>
      </c>
      <c r="D371" s="25"/>
      <c r="E371" s="25"/>
      <c r="F371" s="25"/>
      <c r="G371" s="25"/>
      <c r="H371" s="25"/>
      <c r="I371" s="26"/>
      <c r="J371" s="26"/>
      <c r="K371" s="26"/>
      <c r="L371" s="30" t="str">
        <f aca="true">IF(OR($J371="",$H371="Done",$H371="Cancelled"),"",$J371-TODAY())</f>
        <v/>
      </c>
      <c r="M371" s="29" t="str">
        <f aca="true">IF(AND($J371&lt;&gt;"",$H371&lt;&gt;"Done",$H371&lt;&gt;"Cancelled",$J371&lt;TODAY()),"OVERDUE","")</f>
        <v/>
      </c>
      <c r="N371" s="25"/>
      <c r="O371" s="26"/>
      <c r="P371" s="25"/>
    </row>
    <row r="372" customFormat="false" ht="15" hidden="false" customHeight="false" outlineLevel="0" collapsed="false">
      <c r="A372" s="25"/>
      <c r="B372" s="25"/>
      <c r="C372" s="29" t="str">
        <f aca="false">IF($B372="","",IFERROR(INDEX(Projects!$B$5:$B$204,MATCH($B372,Projects!$A$5:$A$204,0)),"Unknown project ID"))</f>
        <v/>
      </c>
      <c r="D372" s="25"/>
      <c r="E372" s="25"/>
      <c r="F372" s="25"/>
      <c r="G372" s="25"/>
      <c r="H372" s="25"/>
      <c r="I372" s="26"/>
      <c r="J372" s="26"/>
      <c r="K372" s="26"/>
      <c r="L372" s="30" t="str">
        <f aca="true">IF(OR($J372="",$H372="Done",$H372="Cancelled"),"",$J372-TODAY())</f>
        <v/>
      </c>
      <c r="M372" s="29" t="str">
        <f aca="true">IF(AND($J372&lt;&gt;"",$H372&lt;&gt;"Done",$H372&lt;&gt;"Cancelled",$J372&lt;TODAY()),"OVERDUE","")</f>
        <v/>
      </c>
      <c r="N372" s="25"/>
      <c r="O372" s="26"/>
      <c r="P372" s="25"/>
    </row>
    <row r="373" customFormat="false" ht="15" hidden="false" customHeight="false" outlineLevel="0" collapsed="false">
      <c r="A373" s="25"/>
      <c r="B373" s="25"/>
      <c r="C373" s="29" t="str">
        <f aca="false">IF($B373="","",IFERROR(INDEX(Projects!$B$5:$B$204,MATCH($B373,Projects!$A$5:$A$204,0)),"Unknown project ID"))</f>
        <v/>
      </c>
      <c r="D373" s="25"/>
      <c r="E373" s="25"/>
      <c r="F373" s="25"/>
      <c r="G373" s="25"/>
      <c r="H373" s="25"/>
      <c r="I373" s="26"/>
      <c r="J373" s="26"/>
      <c r="K373" s="26"/>
      <c r="L373" s="30" t="str">
        <f aca="true">IF(OR($J373="",$H373="Done",$H373="Cancelled"),"",$J373-TODAY())</f>
        <v/>
      </c>
      <c r="M373" s="29" t="str">
        <f aca="true">IF(AND($J373&lt;&gt;"",$H373&lt;&gt;"Done",$H373&lt;&gt;"Cancelled",$J373&lt;TODAY()),"OVERDUE","")</f>
        <v/>
      </c>
      <c r="N373" s="25"/>
      <c r="O373" s="26"/>
      <c r="P373" s="25"/>
    </row>
    <row r="374" customFormat="false" ht="15" hidden="false" customHeight="false" outlineLevel="0" collapsed="false">
      <c r="A374" s="25"/>
      <c r="B374" s="25"/>
      <c r="C374" s="29" t="str">
        <f aca="false">IF($B374="","",IFERROR(INDEX(Projects!$B$5:$B$204,MATCH($B374,Projects!$A$5:$A$204,0)),"Unknown project ID"))</f>
        <v/>
      </c>
      <c r="D374" s="25"/>
      <c r="E374" s="25"/>
      <c r="F374" s="25"/>
      <c r="G374" s="25"/>
      <c r="H374" s="25"/>
      <c r="I374" s="26"/>
      <c r="J374" s="26"/>
      <c r="K374" s="26"/>
      <c r="L374" s="30" t="str">
        <f aca="true">IF(OR($J374="",$H374="Done",$H374="Cancelled"),"",$J374-TODAY())</f>
        <v/>
      </c>
      <c r="M374" s="29" t="str">
        <f aca="true">IF(AND($J374&lt;&gt;"",$H374&lt;&gt;"Done",$H374&lt;&gt;"Cancelled",$J374&lt;TODAY()),"OVERDUE","")</f>
        <v/>
      </c>
      <c r="N374" s="25"/>
      <c r="O374" s="26"/>
      <c r="P374" s="25"/>
    </row>
    <row r="375" customFormat="false" ht="15" hidden="false" customHeight="false" outlineLevel="0" collapsed="false">
      <c r="A375" s="25"/>
      <c r="B375" s="25"/>
      <c r="C375" s="29" t="str">
        <f aca="false">IF($B375="","",IFERROR(INDEX(Projects!$B$5:$B$204,MATCH($B375,Projects!$A$5:$A$204,0)),"Unknown project ID"))</f>
        <v/>
      </c>
      <c r="D375" s="25"/>
      <c r="E375" s="25"/>
      <c r="F375" s="25"/>
      <c r="G375" s="25"/>
      <c r="H375" s="25"/>
      <c r="I375" s="26"/>
      <c r="J375" s="26"/>
      <c r="K375" s="26"/>
      <c r="L375" s="30" t="str">
        <f aca="true">IF(OR($J375="",$H375="Done",$H375="Cancelled"),"",$J375-TODAY())</f>
        <v/>
      </c>
      <c r="M375" s="29" t="str">
        <f aca="true">IF(AND($J375&lt;&gt;"",$H375&lt;&gt;"Done",$H375&lt;&gt;"Cancelled",$J375&lt;TODAY()),"OVERDUE","")</f>
        <v/>
      </c>
      <c r="N375" s="25"/>
      <c r="O375" s="26"/>
      <c r="P375" s="25"/>
    </row>
    <row r="376" customFormat="false" ht="15" hidden="false" customHeight="false" outlineLevel="0" collapsed="false">
      <c r="A376" s="25"/>
      <c r="B376" s="25"/>
      <c r="C376" s="29" t="str">
        <f aca="false">IF($B376="","",IFERROR(INDEX(Projects!$B$5:$B$204,MATCH($B376,Projects!$A$5:$A$204,0)),"Unknown project ID"))</f>
        <v/>
      </c>
      <c r="D376" s="25"/>
      <c r="E376" s="25"/>
      <c r="F376" s="25"/>
      <c r="G376" s="25"/>
      <c r="H376" s="25"/>
      <c r="I376" s="26"/>
      <c r="J376" s="26"/>
      <c r="K376" s="26"/>
      <c r="L376" s="30" t="str">
        <f aca="true">IF(OR($J376="",$H376="Done",$H376="Cancelled"),"",$J376-TODAY())</f>
        <v/>
      </c>
      <c r="M376" s="29" t="str">
        <f aca="true">IF(AND($J376&lt;&gt;"",$H376&lt;&gt;"Done",$H376&lt;&gt;"Cancelled",$J376&lt;TODAY()),"OVERDUE","")</f>
        <v/>
      </c>
      <c r="N376" s="25"/>
      <c r="O376" s="26"/>
      <c r="P376" s="25"/>
    </row>
    <row r="377" customFormat="false" ht="15" hidden="false" customHeight="false" outlineLevel="0" collapsed="false">
      <c r="A377" s="25"/>
      <c r="B377" s="25"/>
      <c r="C377" s="29" t="str">
        <f aca="false">IF($B377="","",IFERROR(INDEX(Projects!$B$5:$B$204,MATCH($B377,Projects!$A$5:$A$204,0)),"Unknown project ID"))</f>
        <v/>
      </c>
      <c r="D377" s="25"/>
      <c r="E377" s="25"/>
      <c r="F377" s="25"/>
      <c r="G377" s="25"/>
      <c r="H377" s="25"/>
      <c r="I377" s="26"/>
      <c r="J377" s="26"/>
      <c r="K377" s="26"/>
      <c r="L377" s="30" t="str">
        <f aca="true">IF(OR($J377="",$H377="Done",$H377="Cancelled"),"",$J377-TODAY())</f>
        <v/>
      </c>
      <c r="M377" s="29" t="str">
        <f aca="true">IF(AND($J377&lt;&gt;"",$H377&lt;&gt;"Done",$H377&lt;&gt;"Cancelled",$J377&lt;TODAY()),"OVERDUE","")</f>
        <v/>
      </c>
      <c r="N377" s="25"/>
      <c r="O377" s="26"/>
      <c r="P377" s="25"/>
    </row>
    <row r="378" customFormat="false" ht="15" hidden="false" customHeight="false" outlineLevel="0" collapsed="false">
      <c r="A378" s="25"/>
      <c r="B378" s="25"/>
      <c r="C378" s="29" t="str">
        <f aca="false">IF($B378="","",IFERROR(INDEX(Projects!$B$5:$B$204,MATCH($B378,Projects!$A$5:$A$204,0)),"Unknown project ID"))</f>
        <v/>
      </c>
      <c r="D378" s="25"/>
      <c r="E378" s="25"/>
      <c r="F378" s="25"/>
      <c r="G378" s="25"/>
      <c r="H378" s="25"/>
      <c r="I378" s="26"/>
      <c r="J378" s="26"/>
      <c r="K378" s="26"/>
      <c r="L378" s="30" t="str">
        <f aca="true">IF(OR($J378="",$H378="Done",$H378="Cancelled"),"",$J378-TODAY())</f>
        <v/>
      </c>
      <c r="M378" s="29" t="str">
        <f aca="true">IF(AND($J378&lt;&gt;"",$H378&lt;&gt;"Done",$H378&lt;&gt;"Cancelled",$J378&lt;TODAY()),"OVERDUE","")</f>
        <v/>
      </c>
      <c r="N378" s="25"/>
      <c r="O378" s="26"/>
      <c r="P378" s="25"/>
    </row>
    <row r="379" customFormat="false" ht="15" hidden="false" customHeight="false" outlineLevel="0" collapsed="false">
      <c r="A379" s="25"/>
      <c r="B379" s="25"/>
      <c r="C379" s="29" t="str">
        <f aca="false">IF($B379="","",IFERROR(INDEX(Projects!$B$5:$B$204,MATCH($B379,Projects!$A$5:$A$204,0)),"Unknown project ID"))</f>
        <v/>
      </c>
      <c r="D379" s="25"/>
      <c r="E379" s="25"/>
      <c r="F379" s="25"/>
      <c r="G379" s="25"/>
      <c r="H379" s="25"/>
      <c r="I379" s="26"/>
      <c r="J379" s="26"/>
      <c r="K379" s="26"/>
      <c r="L379" s="30" t="str">
        <f aca="true">IF(OR($J379="",$H379="Done",$H379="Cancelled"),"",$J379-TODAY())</f>
        <v/>
      </c>
      <c r="M379" s="29" t="str">
        <f aca="true">IF(AND($J379&lt;&gt;"",$H379&lt;&gt;"Done",$H379&lt;&gt;"Cancelled",$J379&lt;TODAY()),"OVERDUE","")</f>
        <v/>
      </c>
      <c r="N379" s="25"/>
      <c r="O379" s="26"/>
      <c r="P379" s="25"/>
    </row>
    <row r="380" customFormat="false" ht="15" hidden="false" customHeight="false" outlineLevel="0" collapsed="false">
      <c r="A380" s="25"/>
      <c r="B380" s="25"/>
      <c r="C380" s="29" t="str">
        <f aca="false">IF($B380="","",IFERROR(INDEX(Projects!$B$5:$B$204,MATCH($B380,Projects!$A$5:$A$204,0)),"Unknown project ID"))</f>
        <v/>
      </c>
      <c r="D380" s="25"/>
      <c r="E380" s="25"/>
      <c r="F380" s="25"/>
      <c r="G380" s="25"/>
      <c r="H380" s="25"/>
      <c r="I380" s="26"/>
      <c r="J380" s="26"/>
      <c r="K380" s="26"/>
      <c r="L380" s="30" t="str">
        <f aca="true">IF(OR($J380="",$H380="Done",$H380="Cancelled"),"",$J380-TODAY())</f>
        <v/>
      </c>
      <c r="M380" s="29" t="str">
        <f aca="true">IF(AND($J380&lt;&gt;"",$H380&lt;&gt;"Done",$H380&lt;&gt;"Cancelled",$J380&lt;TODAY()),"OVERDUE","")</f>
        <v/>
      </c>
      <c r="N380" s="25"/>
      <c r="O380" s="26"/>
      <c r="P380" s="25"/>
    </row>
    <row r="381" customFormat="false" ht="15" hidden="false" customHeight="false" outlineLevel="0" collapsed="false">
      <c r="A381" s="25"/>
      <c r="B381" s="25"/>
      <c r="C381" s="29" t="str">
        <f aca="false">IF($B381="","",IFERROR(INDEX(Projects!$B$5:$B$204,MATCH($B381,Projects!$A$5:$A$204,0)),"Unknown project ID"))</f>
        <v/>
      </c>
      <c r="D381" s="25"/>
      <c r="E381" s="25"/>
      <c r="F381" s="25"/>
      <c r="G381" s="25"/>
      <c r="H381" s="25"/>
      <c r="I381" s="26"/>
      <c r="J381" s="26"/>
      <c r="K381" s="26"/>
      <c r="L381" s="30" t="str">
        <f aca="true">IF(OR($J381="",$H381="Done",$H381="Cancelled"),"",$J381-TODAY())</f>
        <v/>
      </c>
      <c r="M381" s="29" t="str">
        <f aca="true">IF(AND($J381&lt;&gt;"",$H381&lt;&gt;"Done",$H381&lt;&gt;"Cancelled",$J381&lt;TODAY()),"OVERDUE","")</f>
        <v/>
      </c>
      <c r="N381" s="25"/>
      <c r="O381" s="26"/>
      <c r="P381" s="25"/>
    </row>
    <row r="382" customFormat="false" ht="15" hidden="false" customHeight="false" outlineLevel="0" collapsed="false">
      <c r="A382" s="25"/>
      <c r="B382" s="25"/>
      <c r="C382" s="29" t="str">
        <f aca="false">IF($B382="","",IFERROR(INDEX(Projects!$B$5:$B$204,MATCH($B382,Projects!$A$5:$A$204,0)),"Unknown project ID"))</f>
        <v/>
      </c>
      <c r="D382" s="25"/>
      <c r="E382" s="25"/>
      <c r="F382" s="25"/>
      <c r="G382" s="25"/>
      <c r="H382" s="25"/>
      <c r="I382" s="26"/>
      <c r="J382" s="26"/>
      <c r="K382" s="26"/>
      <c r="L382" s="30" t="str">
        <f aca="true">IF(OR($J382="",$H382="Done",$H382="Cancelled"),"",$J382-TODAY())</f>
        <v/>
      </c>
      <c r="M382" s="29" t="str">
        <f aca="true">IF(AND($J382&lt;&gt;"",$H382&lt;&gt;"Done",$H382&lt;&gt;"Cancelled",$J382&lt;TODAY()),"OVERDUE","")</f>
        <v/>
      </c>
      <c r="N382" s="25"/>
      <c r="O382" s="26"/>
      <c r="P382" s="25"/>
    </row>
    <row r="383" customFormat="false" ht="15" hidden="false" customHeight="false" outlineLevel="0" collapsed="false">
      <c r="A383" s="25"/>
      <c r="B383" s="25"/>
      <c r="C383" s="29" t="str">
        <f aca="false">IF($B383="","",IFERROR(INDEX(Projects!$B$5:$B$204,MATCH($B383,Projects!$A$5:$A$204,0)),"Unknown project ID"))</f>
        <v/>
      </c>
      <c r="D383" s="25"/>
      <c r="E383" s="25"/>
      <c r="F383" s="25"/>
      <c r="G383" s="25"/>
      <c r="H383" s="25"/>
      <c r="I383" s="26"/>
      <c r="J383" s="26"/>
      <c r="K383" s="26"/>
      <c r="L383" s="30" t="str">
        <f aca="true">IF(OR($J383="",$H383="Done",$H383="Cancelled"),"",$J383-TODAY())</f>
        <v/>
      </c>
      <c r="M383" s="29" t="str">
        <f aca="true">IF(AND($J383&lt;&gt;"",$H383&lt;&gt;"Done",$H383&lt;&gt;"Cancelled",$J383&lt;TODAY()),"OVERDUE","")</f>
        <v/>
      </c>
      <c r="N383" s="25"/>
      <c r="O383" s="26"/>
      <c r="P383" s="25"/>
    </row>
    <row r="384" customFormat="false" ht="15" hidden="false" customHeight="false" outlineLevel="0" collapsed="false">
      <c r="A384" s="25"/>
      <c r="B384" s="25"/>
      <c r="C384" s="29" t="str">
        <f aca="false">IF($B384="","",IFERROR(INDEX(Projects!$B$5:$B$204,MATCH($B384,Projects!$A$5:$A$204,0)),"Unknown project ID"))</f>
        <v/>
      </c>
      <c r="D384" s="25"/>
      <c r="E384" s="25"/>
      <c r="F384" s="25"/>
      <c r="G384" s="25"/>
      <c r="H384" s="25"/>
      <c r="I384" s="26"/>
      <c r="J384" s="26"/>
      <c r="K384" s="26"/>
      <c r="L384" s="30" t="str">
        <f aca="true">IF(OR($J384="",$H384="Done",$H384="Cancelled"),"",$J384-TODAY())</f>
        <v/>
      </c>
      <c r="M384" s="29" t="str">
        <f aca="true">IF(AND($J384&lt;&gt;"",$H384&lt;&gt;"Done",$H384&lt;&gt;"Cancelled",$J384&lt;TODAY()),"OVERDUE","")</f>
        <v/>
      </c>
      <c r="N384" s="25"/>
      <c r="O384" s="26"/>
      <c r="P384" s="25"/>
    </row>
    <row r="385" customFormat="false" ht="15" hidden="false" customHeight="false" outlineLevel="0" collapsed="false">
      <c r="A385" s="25"/>
      <c r="B385" s="25"/>
      <c r="C385" s="29" t="str">
        <f aca="false">IF($B385="","",IFERROR(INDEX(Projects!$B$5:$B$204,MATCH($B385,Projects!$A$5:$A$204,0)),"Unknown project ID"))</f>
        <v/>
      </c>
      <c r="D385" s="25"/>
      <c r="E385" s="25"/>
      <c r="F385" s="25"/>
      <c r="G385" s="25"/>
      <c r="H385" s="25"/>
      <c r="I385" s="26"/>
      <c r="J385" s="26"/>
      <c r="K385" s="26"/>
      <c r="L385" s="30" t="str">
        <f aca="true">IF(OR($J385="",$H385="Done",$H385="Cancelled"),"",$J385-TODAY())</f>
        <v/>
      </c>
      <c r="M385" s="29" t="str">
        <f aca="true">IF(AND($J385&lt;&gt;"",$H385&lt;&gt;"Done",$H385&lt;&gt;"Cancelled",$J385&lt;TODAY()),"OVERDUE","")</f>
        <v/>
      </c>
      <c r="N385" s="25"/>
      <c r="O385" s="26"/>
      <c r="P385" s="25"/>
    </row>
    <row r="386" customFormat="false" ht="15" hidden="false" customHeight="false" outlineLevel="0" collapsed="false">
      <c r="A386" s="25"/>
      <c r="B386" s="25"/>
      <c r="C386" s="29" t="str">
        <f aca="false">IF($B386="","",IFERROR(INDEX(Projects!$B$5:$B$204,MATCH($B386,Projects!$A$5:$A$204,0)),"Unknown project ID"))</f>
        <v/>
      </c>
      <c r="D386" s="25"/>
      <c r="E386" s="25"/>
      <c r="F386" s="25"/>
      <c r="G386" s="25"/>
      <c r="H386" s="25"/>
      <c r="I386" s="26"/>
      <c r="J386" s="26"/>
      <c r="K386" s="26"/>
      <c r="L386" s="30" t="str">
        <f aca="true">IF(OR($J386="",$H386="Done",$H386="Cancelled"),"",$J386-TODAY())</f>
        <v/>
      </c>
      <c r="M386" s="29" t="str">
        <f aca="true">IF(AND($J386&lt;&gt;"",$H386&lt;&gt;"Done",$H386&lt;&gt;"Cancelled",$J386&lt;TODAY()),"OVERDUE","")</f>
        <v/>
      </c>
      <c r="N386" s="25"/>
      <c r="O386" s="26"/>
      <c r="P386" s="25"/>
    </row>
    <row r="387" customFormat="false" ht="15" hidden="false" customHeight="false" outlineLevel="0" collapsed="false">
      <c r="A387" s="25"/>
      <c r="B387" s="25"/>
      <c r="C387" s="29" t="str">
        <f aca="false">IF($B387="","",IFERROR(INDEX(Projects!$B$5:$B$204,MATCH($B387,Projects!$A$5:$A$204,0)),"Unknown project ID"))</f>
        <v/>
      </c>
      <c r="D387" s="25"/>
      <c r="E387" s="25"/>
      <c r="F387" s="25"/>
      <c r="G387" s="25"/>
      <c r="H387" s="25"/>
      <c r="I387" s="26"/>
      <c r="J387" s="26"/>
      <c r="K387" s="26"/>
      <c r="L387" s="30" t="str">
        <f aca="true">IF(OR($J387="",$H387="Done",$H387="Cancelled"),"",$J387-TODAY())</f>
        <v/>
      </c>
      <c r="M387" s="29" t="str">
        <f aca="true">IF(AND($J387&lt;&gt;"",$H387&lt;&gt;"Done",$H387&lt;&gt;"Cancelled",$J387&lt;TODAY()),"OVERDUE","")</f>
        <v/>
      </c>
      <c r="N387" s="25"/>
      <c r="O387" s="26"/>
      <c r="P387" s="25"/>
    </row>
    <row r="388" customFormat="false" ht="15" hidden="false" customHeight="false" outlineLevel="0" collapsed="false">
      <c r="A388" s="25"/>
      <c r="B388" s="25"/>
      <c r="C388" s="29" t="str">
        <f aca="false">IF($B388="","",IFERROR(INDEX(Projects!$B$5:$B$204,MATCH($B388,Projects!$A$5:$A$204,0)),"Unknown project ID"))</f>
        <v/>
      </c>
      <c r="D388" s="25"/>
      <c r="E388" s="25"/>
      <c r="F388" s="25"/>
      <c r="G388" s="25"/>
      <c r="H388" s="25"/>
      <c r="I388" s="26"/>
      <c r="J388" s="26"/>
      <c r="K388" s="26"/>
      <c r="L388" s="30" t="str">
        <f aca="true">IF(OR($J388="",$H388="Done",$H388="Cancelled"),"",$J388-TODAY())</f>
        <v/>
      </c>
      <c r="M388" s="29" t="str">
        <f aca="true">IF(AND($J388&lt;&gt;"",$H388&lt;&gt;"Done",$H388&lt;&gt;"Cancelled",$J388&lt;TODAY()),"OVERDUE","")</f>
        <v/>
      </c>
      <c r="N388" s="25"/>
      <c r="O388" s="26"/>
      <c r="P388" s="25"/>
    </row>
    <row r="389" customFormat="false" ht="15" hidden="false" customHeight="false" outlineLevel="0" collapsed="false">
      <c r="A389" s="25"/>
      <c r="B389" s="25"/>
      <c r="C389" s="29" t="str">
        <f aca="false">IF($B389="","",IFERROR(INDEX(Projects!$B$5:$B$204,MATCH($B389,Projects!$A$5:$A$204,0)),"Unknown project ID"))</f>
        <v/>
      </c>
      <c r="D389" s="25"/>
      <c r="E389" s="25"/>
      <c r="F389" s="25"/>
      <c r="G389" s="25"/>
      <c r="H389" s="25"/>
      <c r="I389" s="26"/>
      <c r="J389" s="26"/>
      <c r="K389" s="26"/>
      <c r="L389" s="30" t="str">
        <f aca="true">IF(OR($J389="",$H389="Done",$H389="Cancelled"),"",$J389-TODAY())</f>
        <v/>
      </c>
      <c r="M389" s="29" t="str">
        <f aca="true">IF(AND($J389&lt;&gt;"",$H389&lt;&gt;"Done",$H389&lt;&gt;"Cancelled",$J389&lt;TODAY()),"OVERDUE","")</f>
        <v/>
      </c>
      <c r="N389" s="25"/>
      <c r="O389" s="26"/>
      <c r="P389" s="25"/>
    </row>
    <row r="390" customFormat="false" ht="15" hidden="false" customHeight="false" outlineLevel="0" collapsed="false">
      <c r="A390" s="25"/>
      <c r="B390" s="25"/>
      <c r="C390" s="29" t="str">
        <f aca="false">IF($B390="","",IFERROR(INDEX(Projects!$B$5:$B$204,MATCH($B390,Projects!$A$5:$A$204,0)),"Unknown project ID"))</f>
        <v/>
      </c>
      <c r="D390" s="25"/>
      <c r="E390" s="25"/>
      <c r="F390" s="25"/>
      <c r="G390" s="25"/>
      <c r="H390" s="25"/>
      <c r="I390" s="26"/>
      <c r="J390" s="26"/>
      <c r="K390" s="26"/>
      <c r="L390" s="30" t="str">
        <f aca="true">IF(OR($J390="",$H390="Done",$H390="Cancelled"),"",$J390-TODAY())</f>
        <v/>
      </c>
      <c r="M390" s="29" t="str">
        <f aca="true">IF(AND($J390&lt;&gt;"",$H390&lt;&gt;"Done",$H390&lt;&gt;"Cancelled",$J390&lt;TODAY()),"OVERDUE","")</f>
        <v/>
      </c>
      <c r="N390" s="25"/>
      <c r="O390" s="26"/>
      <c r="P390" s="25"/>
    </row>
    <row r="391" customFormat="false" ht="15" hidden="false" customHeight="false" outlineLevel="0" collapsed="false">
      <c r="A391" s="25"/>
      <c r="B391" s="25"/>
      <c r="C391" s="29" t="str">
        <f aca="false">IF($B391="","",IFERROR(INDEX(Projects!$B$5:$B$204,MATCH($B391,Projects!$A$5:$A$204,0)),"Unknown project ID"))</f>
        <v/>
      </c>
      <c r="D391" s="25"/>
      <c r="E391" s="25"/>
      <c r="F391" s="25"/>
      <c r="G391" s="25"/>
      <c r="H391" s="25"/>
      <c r="I391" s="26"/>
      <c r="J391" s="26"/>
      <c r="K391" s="26"/>
      <c r="L391" s="30" t="str">
        <f aca="true">IF(OR($J391="",$H391="Done",$H391="Cancelled"),"",$J391-TODAY())</f>
        <v/>
      </c>
      <c r="M391" s="29" t="str">
        <f aca="true">IF(AND($J391&lt;&gt;"",$H391&lt;&gt;"Done",$H391&lt;&gt;"Cancelled",$J391&lt;TODAY()),"OVERDUE","")</f>
        <v/>
      </c>
      <c r="N391" s="25"/>
      <c r="O391" s="26"/>
      <c r="P391" s="25"/>
    </row>
    <row r="392" customFormat="false" ht="15" hidden="false" customHeight="false" outlineLevel="0" collapsed="false">
      <c r="A392" s="25"/>
      <c r="B392" s="25"/>
      <c r="C392" s="29" t="str">
        <f aca="false">IF($B392="","",IFERROR(INDEX(Projects!$B$5:$B$204,MATCH($B392,Projects!$A$5:$A$204,0)),"Unknown project ID"))</f>
        <v/>
      </c>
      <c r="D392" s="25"/>
      <c r="E392" s="25"/>
      <c r="F392" s="25"/>
      <c r="G392" s="25"/>
      <c r="H392" s="25"/>
      <c r="I392" s="26"/>
      <c r="J392" s="26"/>
      <c r="K392" s="26"/>
      <c r="L392" s="30" t="str">
        <f aca="true">IF(OR($J392="",$H392="Done",$H392="Cancelled"),"",$J392-TODAY())</f>
        <v/>
      </c>
      <c r="M392" s="29" t="str">
        <f aca="true">IF(AND($J392&lt;&gt;"",$H392&lt;&gt;"Done",$H392&lt;&gt;"Cancelled",$J392&lt;TODAY()),"OVERDUE","")</f>
        <v/>
      </c>
      <c r="N392" s="25"/>
      <c r="O392" s="26"/>
      <c r="P392" s="25"/>
    </row>
    <row r="393" customFormat="false" ht="15" hidden="false" customHeight="false" outlineLevel="0" collapsed="false">
      <c r="A393" s="25"/>
      <c r="B393" s="25"/>
      <c r="C393" s="29" t="str">
        <f aca="false">IF($B393="","",IFERROR(INDEX(Projects!$B$5:$B$204,MATCH($B393,Projects!$A$5:$A$204,0)),"Unknown project ID"))</f>
        <v/>
      </c>
      <c r="D393" s="25"/>
      <c r="E393" s="25"/>
      <c r="F393" s="25"/>
      <c r="G393" s="25"/>
      <c r="H393" s="25"/>
      <c r="I393" s="26"/>
      <c r="J393" s="26"/>
      <c r="K393" s="26"/>
      <c r="L393" s="30" t="str">
        <f aca="true">IF(OR($J393="",$H393="Done",$H393="Cancelled"),"",$J393-TODAY())</f>
        <v/>
      </c>
      <c r="M393" s="29" t="str">
        <f aca="true">IF(AND($J393&lt;&gt;"",$H393&lt;&gt;"Done",$H393&lt;&gt;"Cancelled",$J393&lt;TODAY()),"OVERDUE","")</f>
        <v/>
      </c>
      <c r="N393" s="25"/>
      <c r="O393" s="26"/>
      <c r="P393" s="25"/>
    </row>
    <row r="394" customFormat="false" ht="15" hidden="false" customHeight="false" outlineLevel="0" collapsed="false">
      <c r="A394" s="25"/>
      <c r="B394" s="25"/>
      <c r="C394" s="29" t="str">
        <f aca="false">IF($B394="","",IFERROR(INDEX(Projects!$B$5:$B$204,MATCH($B394,Projects!$A$5:$A$204,0)),"Unknown project ID"))</f>
        <v/>
      </c>
      <c r="D394" s="25"/>
      <c r="E394" s="25"/>
      <c r="F394" s="25"/>
      <c r="G394" s="25"/>
      <c r="H394" s="25"/>
      <c r="I394" s="26"/>
      <c r="J394" s="26"/>
      <c r="K394" s="26"/>
      <c r="L394" s="30" t="str">
        <f aca="true">IF(OR($J394="",$H394="Done",$H394="Cancelled"),"",$J394-TODAY())</f>
        <v/>
      </c>
      <c r="M394" s="29" t="str">
        <f aca="true">IF(AND($J394&lt;&gt;"",$H394&lt;&gt;"Done",$H394&lt;&gt;"Cancelled",$J394&lt;TODAY()),"OVERDUE","")</f>
        <v/>
      </c>
      <c r="N394" s="25"/>
      <c r="O394" s="26"/>
      <c r="P394" s="25"/>
    </row>
    <row r="395" customFormat="false" ht="15" hidden="false" customHeight="false" outlineLevel="0" collapsed="false">
      <c r="A395" s="25"/>
      <c r="B395" s="25"/>
      <c r="C395" s="29" t="str">
        <f aca="false">IF($B395="","",IFERROR(INDEX(Projects!$B$5:$B$204,MATCH($B395,Projects!$A$5:$A$204,0)),"Unknown project ID"))</f>
        <v/>
      </c>
      <c r="D395" s="25"/>
      <c r="E395" s="25"/>
      <c r="F395" s="25"/>
      <c r="G395" s="25"/>
      <c r="H395" s="25"/>
      <c r="I395" s="26"/>
      <c r="J395" s="26"/>
      <c r="K395" s="26"/>
      <c r="L395" s="30" t="str">
        <f aca="true">IF(OR($J395="",$H395="Done",$H395="Cancelled"),"",$J395-TODAY())</f>
        <v/>
      </c>
      <c r="M395" s="29" t="str">
        <f aca="true">IF(AND($J395&lt;&gt;"",$H395&lt;&gt;"Done",$H395&lt;&gt;"Cancelled",$J395&lt;TODAY()),"OVERDUE","")</f>
        <v/>
      </c>
      <c r="N395" s="25"/>
      <c r="O395" s="26"/>
      <c r="P395" s="25"/>
    </row>
    <row r="396" customFormat="false" ht="15" hidden="false" customHeight="false" outlineLevel="0" collapsed="false">
      <c r="A396" s="25"/>
      <c r="B396" s="25"/>
      <c r="C396" s="29" t="str">
        <f aca="false">IF($B396="","",IFERROR(INDEX(Projects!$B$5:$B$204,MATCH($B396,Projects!$A$5:$A$204,0)),"Unknown project ID"))</f>
        <v/>
      </c>
      <c r="D396" s="25"/>
      <c r="E396" s="25"/>
      <c r="F396" s="25"/>
      <c r="G396" s="25"/>
      <c r="H396" s="25"/>
      <c r="I396" s="26"/>
      <c r="J396" s="26"/>
      <c r="K396" s="26"/>
      <c r="L396" s="30" t="str">
        <f aca="true">IF(OR($J396="",$H396="Done",$H396="Cancelled"),"",$J396-TODAY())</f>
        <v/>
      </c>
      <c r="M396" s="29" t="str">
        <f aca="true">IF(AND($J396&lt;&gt;"",$H396&lt;&gt;"Done",$H396&lt;&gt;"Cancelled",$J396&lt;TODAY()),"OVERDUE","")</f>
        <v/>
      </c>
      <c r="N396" s="25"/>
      <c r="O396" s="26"/>
      <c r="P396" s="25"/>
    </row>
    <row r="397" customFormat="false" ht="15" hidden="false" customHeight="false" outlineLevel="0" collapsed="false">
      <c r="A397" s="25"/>
      <c r="B397" s="25"/>
      <c r="C397" s="29" t="str">
        <f aca="false">IF($B397="","",IFERROR(INDEX(Projects!$B$5:$B$204,MATCH($B397,Projects!$A$5:$A$204,0)),"Unknown project ID"))</f>
        <v/>
      </c>
      <c r="D397" s="25"/>
      <c r="E397" s="25"/>
      <c r="F397" s="25"/>
      <c r="G397" s="25"/>
      <c r="H397" s="25"/>
      <c r="I397" s="26"/>
      <c r="J397" s="26"/>
      <c r="K397" s="26"/>
      <c r="L397" s="30" t="str">
        <f aca="true">IF(OR($J397="",$H397="Done",$H397="Cancelled"),"",$J397-TODAY())</f>
        <v/>
      </c>
      <c r="M397" s="29" t="str">
        <f aca="true">IF(AND($J397&lt;&gt;"",$H397&lt;&gt;"Done",$H397&lt;&gt;"Cancelled",$J397&lt;TODAY()),"OVERDUE","")</f>
        <v/>
      </c>
      <c r="N397" s="25"/>
      <c r="O397" s="26"/>
      <c r="P397" s="25"/>
    </row>
    <row r="398" customFormat="false" ht="15" hidden="false" customHeight="false" outlineLevel="0" collapsed="false">
      <c r="A398" s="25"/>
      <c r="B398" s="25"/>
      <c r="C398" s="29" t="str">
        <f aca="false">IF($B398="","",IFERROR(INDEX(Projects!$B$5:$B$204,MATCH($B398,Projects!$A$5:$A$204,0)),"Unknown project ID"))</f>
        <v/>
      </c>
      <c r="D398" s="25"/>
      <c r="E398" s="25"/>
      <c r="F398" s="25"/>
      <c r="G398" s="25"/>
      <c r="H398" s="25"/>
      <c r="I398" s="26"/>
      <c r="J398" s="26"/>
      <c r="K398" s="26"/>
      <c r="L398" s="30" t="str">
        <f aca="true">IF(OR($J398="",$H398="Done",$H398="Cancelled"),"",$J398-TODAY())</f>
        <v/>
      </c>
      <c r="M398" s="29" t="str">
        <f aca="true">IF(AND($J398&lt;&gt;"",$H398&lt;&gt;"Done",$H398&lt;&gt;"Cancelled",$J398&lt;TODAY()),"OVERDUE","")</f>
        <v/>
      </c>
      <c r="N398" s="25"/>
      <c r="O398" s="26"/>
      <c r="P398" s="25"/>
    </row>
    <row r="399" customFormat="false" ht="15" hidden="false" customHeight="false" outlineLevel="0" collapsed="false">
      <c r="A399" s="25"/>
      <c r="B399" s="25"/>
      <c r="C399" s="29" t="str">
        <f aca="false">IF($B399="","",IFERROR(INDEX(Projects!$B$5:$B$204,MATCH($B399,Projects!$A$5:$A$204,0)),"Unknown project ID"))</f>
        <v/>
      </c>
      <c r="D399" s="25"/>
      <c r="E399" s="25"/>
      <c r="F399" s="25"/>
      <c r="G399" s="25"/>
      <c r="H399" s="25"/>
      <c r="I399" s="26"/>
      <c r="J399" s="26"/>
      <c r="K399" s="26"/>
      <c r="L399" s="30" t="str">
        <f aca="true">IF(OR($J399="",$H399="Done",$H399="Cancelled"),"",$J399-TODAY())</f>
        <v/>
      </c>
      <c r="M399" s="29" t="str">
        <f aca="true">IF(AND($J399&lt;&gt;"",$H399&lt;&gt;"Done",$H399&lt;&gt;"Cancelled",$J399&lt;TODAY()),"OVERDUE","")</f>
        <v/>
      </c>
      <c r="N399" s="25"/>
      <c r="O399" s="26"/>
      <c r="P399" s="25"/>
    </row>
    <row r="400" customFormat="false" ht="15" hidden="false" customHeight="false" outlineLevel="0" collapsed="false">
      <c r="A400" s="25"/>
      <c r="B400" s="25"/>
      <c r="C400" s="29" t="str">
        <f aca="false">IF($B400="","",IFERROR(INDEX(Projects!$B$5:$B$204,MATCH($B400,Projects!$A$5:$A$204,0)),"Unknown project ID"))</f>
        <v/>
      </c>
      <c r="D400" s="25"/>
      <c r="E400" s="25"/>
      <c r="F400" s="25"/>
      <c r="G400" s="25"/>
      <c r="H400" s="25"/>
      <c r="I400" s="26"/>
      <c r="J400" s="26"/>
      <c r="K400" s="26"/>
      <c r="L400" s="30" t="str">
        <f aca="true">IF(OR($J400="",$H400="Done",$H400="Cancelled"),"",$J400-TODAY())</f>
        <v/>
      </c>
      <c r="M400" s="29" t="str">
        <f aca="true">IF(AND($J400&lt;&gt;"",$H400&lt;&gt;"Done",$H400&lt;&gt;"Cancelled",$J400&lt;TODAY()),"OVERDUE","")</f>
        <v/>
      </c>
      <c r="N400" s="25"/>
      <c r="O400" s="26"/>
      <c r="P400" s="25"/>
    </row>
    <row r="401" customFormat="false" ht="15" hidden="false" customHeight="false" outlineLevel="0" collapsed="false">
      <c r="A401" s="25"/>
      <c r="B401" s="25"/>
      <c r="C401" s="29" t="str">
        <f aca="false">IF($B401="","",IFERROR(INDEX(Projects!$B$5:$B$204,MATCH($B401,Projects!$A$5:$A$204,0)),"Unknown project ID"))</f>
        <v/>
      </c>
      <c r="D401" s="25"/>
      <c r="E401" s="25"/>
      <c r="F401" s="25"/>
      <c r="G401" s="25"/>
      <c r="H401" s="25"/>
      <c r="I401" s="26"/>
      <c r="J401" s="26"/>
      <c r="K401" s="26"/>
      <c r="L401" s="30" t="str">
        <f aca="true">IF(OR($J401="",$H401="Done",$H401="Cancelled"),"",$J401-TODAY())</f>
        <v/>
      </c>
      <c r="M401" s="29" t="str">
        <f aca="true">IF(AND($J401&lt;&gt;"",$H401&lt;&gt;"Done",$H401&lt;&gt;"Cancelled",$J401&lt;TODAY()),"OVERDUE","")</f>
        <v/>
      </c>
      <c r="N401" s="25"/>
      <c r="O401" s="26"/>
      <c r="P401" s="25"/>
    </row>
    <row r="402" customFormat="false" ht="15" hidden="false" customHeight="false" outlineLevel="0" collapsed="false">
      <c r="A402" s="25"/>
      <c r="B402" s="25"/>
      <c r="C402" s="29" t="str">
        <f aca="false">IF($B402="","",IFERROR(INDEX(Projects!$B$5:$B$204,MATCH($B402,Projects!$A$5:$A$204,0)),"Unknown project ID"))</f>
        <v/>
      </c>
      <c r="D402" s="25"/>
      <c r="E402" s="25"/>
      <c r="F402" s="25"/>
      <c r="G402" s="25"/>
      <c r="H402" s="25"/>
      <c r="I402" s="26"/>
      <c r="J402" s="26"/>
      <c r="K402" s="26"/>
      <c r="L402" s="30" t="str">
        <f aca="true">IF(OR($J402="",$H402="Done",$H402="Cancelled"),"",$J402-TODAY())</f>
        <v/>
      </c>
      <c r="M402" s="29" t="str">
        <f aca="true">IF(AND($J402&lt;&gt;"",$H402&lt;&gt;"Done",$H402&lt;&gt;"Cancelled",$J402&lt;TODAY()),"OVERDUE","")</f>
        <v/>
      </c>
      <c r="N402" s="25"/>
      <c r="O402" s="26"/>
      <c r="P402" s="25"/>
    </row>
    <row r="403" customFormat="false" ht="15" hidden="false" customHeight="false" outlineLevel="0" collapsed="false">
      <c r="A403" s="25"/>
      <c r="B403" s="25"/>
      <c r="C403" s="29" t="str">
        <f aca="false">IF($B403="","",IFERROR(INDEX(Projects!$B$5:$B$204,MATCH($B403,Projects!$A$5:$A$204,0)),"Unknown project ID"))</f>
        <v/>
      </c>
      <c r="D403" s="25"/>
      <c r="E403" s="25"/>
      <c r="F403" s="25"/>
      <c r="G403" s="25"/>
      <c r="H403" s="25"/>
      <c r="I403" s="26"/>
      <c r="J403" s="26"/>
      <c r="K403" s="26"/>
      <c r="L403" s="30" t="str">
        <f aca="true">IF(OR($J403="",$H403="Done",$H403="Cancelled"),"",$J403-TODAY())</f>
        <v/>
      </c>
      <c r="M403" s="29" t="str">
        <f aca="true">IF(AND($J403&lt;&gt;"",$H403&lt;&gt;"Done",$H403&lt;&gt;"Cancelled",$J403&lt;TODAY()),"OVERDUE","")</f>
        <v/>
      </c>
      <c r="N403" s="25"/>
      <c r="O403" s="26"/>
      <c r="P403" s="25"/>
    </row>
    <row r="404" customFormat="false" ht="15" hidden="false" customHeight="false" outlineLevel="0" collapsed="false">
      <c r="A404" s="25"/>
      <c r="B404" s="25"/>
      <c r="C404" s="29" t="str">
        <f aca="false">IF($B404="","",IFERROR(INDEX(Projects!$B$5:$B$204,MATCH($B404,Projects!$A$5:$A$204,0)),"Unknown project ID"))</f>
        <v/>
      </c>
      <c r="D404" s="25"/>
      <c r="E404" s="25"/>
      <c r="F404" s="25"/>
      <c r="G404" s="25"/>
      <c r="H404" s="25"/>
      <c r="I404" s="26"/>
      <c r="J404" s="26"/>
      <c r="K404" s="26"/>
      <c r="L404" s="30" t="str">
        <f aca="true">IF(OR($J404="",$H404="Done",$H404="Cancelled"),"",$J404-TODAY())</f>
        <v/>
      </c>
      <c r="M404" s="29" t="str">
        <f aca="true">IF(AND($J404&lt;&gt;"",$H404&lt;&gt;"Done",$H404&lt;&gt;"Cancelled",$J404&lt;TODAY()),"OVERDUE","")</f>
        <v/>
      </c>
      <c r="N404" s="25"/>
      <c r="O404" s="26"/>
      <c r="P404" s="25"/>
    </row>
    <row r="405" customFormat="false" ht="15" hidden="false" customHeight="false" outlineLevel="0" collapsed="false">
      <c r="A405" s="25"/>
      <c r="B405" s="25"/>
      <c r="C405" s="29" t="str">
        <f aca="false">IF($B405="","",IFERROR(INDEX(Projects!$B$5:$B$204,MATCH($B405,Projects!$A$5:$A$204,0)),"Unknown project ID"))</f>
        <v/>
      </c>
      <c r="D405" s="25"/>
      <c r="E405" s="25"/>
      <c r="F405" s="25"/>
      <c r="G405" s="25"/>
      <c r="H405" s="25"/>
      <c r="I405" s="26"/>
      <c r="J405" s="26"/>
      <c r="K405" s="26"/>
      <c r="L405" s="30" t="str">
        <f aca="true">IF(OR($J405="",$H405="Done",$H405="Cancelled"),"",$J405-TODAY())</f>
        <v/>
      </c>
      <c r="M405" s="29" t="str">
        <f aca="true">IF(AND($J405&lt;&gt;"",$H405&lt;&gt;"Done",$H405&lt;&gt;"Cancelled",$J405&lt;TODAY()),"OVERDUE","")</f>
        <v/>
      </c>
      <c r="N405" s="25"/>
      <c r="O405" s="26"/>
      <c r="P405" s="25"/>
    </row>
    <row r="406" customFormat="false" ht="15" hidden="false" customHeight="false" outlineLevel="0" collapsed="false">
      <c r="A406" s="25"/>
      <c r="B406" s="25"/>
      <c r="C406" s="29" t="str">
        <f aca="false">IF($B406="","",IFERROR(INDEX(Projects!$B$5:$B$204,MATCH($B406,Projects!$A$5:$A$204,0)),"Unknown project ID"))</f>
        <v/>
      </c>
      <c r="D406" s="25"/>
      <c r="E406" s="25"/>
      <c r="F406" s="25"/>
      <c r="G406" s="25"/>
      <c r="H406" s="25"/>
      <c r="I406" s="26"/>
      <c r="J406" s="26"/>
      <c r="K406" s="26"/>
      <c r="L406" s="30" t="str">
        <f aca="true">IF(OR($J406="",$H406="Done",$H406="Cancelled"),"",$J406-TODAY())</f>
        <v/>
      </c>
      <c r="M406" s="29" t="str">
        <f aca="true">IF(AND($J406&lt;&gt;"",$H406&lt;&gt;"Done",$H406&lt;&gt;"Cancelled",$J406&lt;TODAY()),"OVERDUE","")</f>
        <v/>
      </c>
      <c r="N406" s="25"/>
      <c r="O406" s="26"/>
      <c r="P406" s="25"/>
    </row>
    <row r="407" customFormat="false" ht="15" hidden="false" customHeight="false" outlineLevel="0" collapsed="false">
      <c r="A407" s="25"/>
      <c r="B407" s="25"/>
      <c r="C407" s="29" t="str">
        <f aca="false">IF($B407="","",IFERROR(INDEX(Projects!$B$5:$B$204,MATCH($B407,Projects!$A$5:$A$204,0)),"Unknown project ID"))</f>
        <v/>
      </c>
      <c r="D407" s="25"/>
      <c r="E407" s="25"/>
      <c r="F407" s="25"/>
      <c r="G407" s="25"/>
      <c r="H407" s="25"/>
      <c r="I407" s="26"/>
      <c r="J407" s="26"/>
      <c r="K407" s="26"/>
      <c r="L407" s="30" t="str">
        <f aca="true">IF(OR($J407="",$H407="Done",$H407="Cancelled"),"",$J407-TODAY())</f>
        <v/>
      </c>
      <c r="M407" s="29" t="str">
        <f aca="true">IF(AND($J407&lt;&gt;"",$H407&lt;&gt;"Done",$H407&lt;&gt;"Cancelled",$J407&lt;TODAY()),"OVERDUE","")</f>
        <v/>
      </c>
      <c r="N407" s="25"/>
      <c r="O407" s="26"/>
      <c r="P407" s="25"/>
    </row>
    <row r="408" customFormat="false" ht="15" hidden="false" customHeight="false" outlineLevel="0" collapsed="false">
      <c r="A408" s="25"/>
      <c r="B408" s="25"/>
      <c r="C408" s="29" t="str">
        <f aca="false">IF($B408="","",IFERROR(INDEX(Projects!$B$5:$B$204,MATCH($B408,Projects!$A$5:$A$204,0)),"Unknown project ID"))</f>
        <v/>
      </c>
      <c r="D408" s="25"/>
      <c r="E408" s="25"/>
      <c r="F408" s="25"/>
      <c r="G408" s="25"/>
      <c r="H408" s="25"/>
      <c r="I408" s="26"/>
      <c r="J408" s="26"/>
      <c r="K408" s="26"/>
      <c r="L408" s="30" t="str">
        <f aca="true">IF(OR($J408="",$H408="Done",$H408="Cancelled"),"",$J408-TODAY())</f>
        <v/>
      </c>
      <c r="M408" s="29" t="str">
        <f aca="true">IF(AND($J408&lt;&gt;"",$H408&lt;&gt;"Done",$H408&lt;&gt;"Cancelled",$J408&lt;TODAY()),"OVERDUE","")</f>
        <v/>
      </c>
      <c r="N408" s="25"/>
      <c r="O408" s="26"/>
      <c r="P408" s="25"/>
    </row>
    <row r="409" customFormat="false" ht="15" hidden="false" customHeight="false" outlineLevel="0" collapsed="false">
      <c r="A409" s="25"/>
      <c r="B409" s="25"/>
      <c r="C409" s="29" t="str">
        <f aca="false">IF($B409="","",IFERROR(INDEX(Projects!$B$5:$B$204,MATCH($B409,Projects!$A$5:$A$204,0)),"Unknown project ID"))</f>
        <v/>
      </c>
      <c r="D409" s="25"/>
      <c r="E409" s="25"/>
      <c r="F409" s="25"/>
      <c r="G409" s="25"/>
      <c r="H409" s="25"/>
      <c r="I409" s="26"/>
      <c r="J409" s="26"/>
      <c r="K409" s="26"/>
      <c r="L409" s="30" t="str">
        <f aca="true">IF(OR($J409="",$H409="Done",$H409="Cancelled"),"",$J409-TODAY())</f>
        <v/>
      </c>
      <c r="M409" s="29" t="str">
        <f aca="true">IF(AND($J409&lt;&gt;"",$H409&lt;&gt;"Done",$H409&lt;&gt;"Cancelled",$J409&lt;TODAY()),"OVERDUE","")</f>
        <v/>
      </c>
      <c r="N409" s="25"/>
      <c r="O409" s="26"/>
      <c r="P409" s="25"/>
    </row>
    <row r="410" customFormat="false" ht="15" hidden="false" customHeight="false" outlineLevel="0" collapsed="false">
      <c r="A410" s="25"/>
      <c r="B410" s="25"/>
      <c r="C410" s="29" t="str">
        <f aca="false">IF($B410="","",IFERROR(INDEX(Projects!$B$5:$B$204,MATCH($B410,Projects!$A$5:$A$204,0)),"Unknown project ID"))</f>
        <v/>
      </c>
      <c r="D410" s="25"/>
      <c r="E410" s="25"/>
      <c r="F410" s="25"/>
      <c r="G410" s="25"/>
      <c r="H410" s="25"/>
      <c r="I410" s="26"/>
      <c r="J410" s="26"/>
      <c r="K410" s="26"/>
      <c r="L410" s="30" t="str">
        <f aca="true">IF(OR($J410="",$H410="Done",$H410="Cancelled"),"",$J410-TODAY())</f>
        <v/>
      </c>
      <c r="M410" s="29" t="str">
        <f aca="true">IF(AND($J410&lt;&gt;"",$H410&lt;&gt;"Done",$H410&lt;&gt;"Cancelled",$J410&lt;TODAY()),"OVERDUE","")</f>
        <v/>
      </c>
      <c r="N410" s="25"/>
      <c r="O410" s="26"/>
      <c r="P410" s="25"/>
    </row>
    <row r="411" customFormat="false" ht="15" hidden="false" customHeight="false" outlineLevel="0" collapsed="false">
      <c r="A411" s="25"/>
      <c r="B411" s="25"/>
      <c r="C411" s="29" t="str">
        <f aca="false">IF($B411="","",IFERROR(INDEX(Projects!$B$5:$B$204,MATCH($B411,Projects!$A$5:$A$204,0)),"Unknown project ID"))</f>
        <v/>
      </c>
      <c r="D411" s="25"/>
      <c r="E411" s="25"/>
      <c r="F411" s="25"/>
      <c r="G411" s="25"/>
      <c r="H411" s="25"/>
      <c r="I411" s="26"/>
      <c r="J411" s="26"/>
      <c r="K411" s="26"/>
      <c r="L411" s="30" t="str">
        <f aca="true">IF(OR($J411="",$H411="Done",$H411="Cancelled"),"",$J411-TODAY())</f>
        <v/>
      </c>
      <c r="M411" s="29" t="str">
        <f aca="true">IF(AND($J411&lt;&gt;"",$H411&lt;&gt;"Done",$H411&lt;&gt;"Cancelled",$J411&lt;TODAY()),"OVERDUE","")</f>
        <v/>
      </c>
      <c r="N411" s="25"/>
      <c r="O411" s="26"/>
      <c r="P411" s="25"/>
    </row>
    <row r="412" customFormat="false" ht="15" hidden="false" customHeight="false" outlineLevel="0" collapsed="false">
      <c r="A412" s="25"/>
      <c r="B412" s="25"/>
      <c r="C412" s="29" t="str">
        <f aca="false">IF($B412="","",IFERROR(INDEX(Projects!$B$5:$B$204,MATCH($B412,Projects!$A$5:$A$204,0)),"Unknown project ID"))</f>
        <v/>
      </c>
      <c r="D412" s="25"/>
      <c r="E412" s="25"/>
      <c r="F412" s="25"/>
      <c r="G412" s="25"/>
      <c r="H412" s="25"/>
      <c r="I412" s="26"/>
      <c r="J412" s="26"/>
      <c r="K412" s="26"/>
      <c r="L412" s="30" t="str">
        <f aca="true">IF(OR($J412="",$H412="Done",$H412="Cancelled"),"",$J412-TODAY())</f>
        <v/>
      </c>
      <c r="M412" s="29" t="str">
        <f aca="true">IF(AND($J412&lt;&gt;"",$H412&lt;&gt;"Done",$H412&lt;&gt;"Cancelled",$J412&lt;TODAY()),"OVERDUE","")</f>
        <v/>
      </c>
      <c r="N412" s="25"/>
      <c r="O412" s="26"/>
      <c r="P412" s="25"/>
    </row>
    <row r="413" customFormat="false" ht="15" hidden="false" customHeight="false" outlineLevel="0" collapsed="false">
      <c r="A413" s="25"/>
      <c r="B413" s="25"/>
      <c r="C413" s="29" t="str">
        <f aca="false">IF($B413="","",IFERROR(INDEX(Projects!$B$5:$B$204,MATCH($B413,Projects!$A$5:$A$204,0)),"Unknown project ID"))</f>
        <v/>
      </c>
      <c r="D413" s="25"/>
      <c r="E413" s="25"/>
      <c r="F413" s="25"/>
      <c r="G413" s="25"/>
      <c r="H413" s="25"/>
      <c r="I413" s="26"/>
      <c r="J413" s="26"/>
      <c r="K413" s="26"/>
      <c r="L413" s="30" t="str">
        <f aca="true">IF(OR($J413="",$H413="Done",$H413="Cancelled"),"",$J413-TODAY())</f>
        <v/>
      </c>
      <c r="M413" s="29" t="str">
        <f aca="true">IF(AND($J413&lt;&gt;"",$H413&lt;&gt;"Done",$H413&lt;&gt;"Cancelled",$J413&lt;TODAY()),"OVERDUE","")</f>
        <v/>
      </c>
      <c r="N413" s="25"/>
      <c r="O413" s="26"/>
      <c r="P413" s="25"/>
    </row>
    <row r="414" customFormat="false" ht="15" hidden="false" customHeight="false" outlineLevel="0" collapsed="false">
      <c r="A414" s="25"/>
      <c r="B414" s="25"/>
      <c r="C414" s="29" t="str">
        <f aca="false">IF($B414="","",IFERROR(INDEX(Projects!$B$5:$B$204,MATCH($B414,Projects!$A$5:$A$204,0)),"Unknown project ID"))</f>
        <v/>
      </c>
      <c r="D414" s="25"/>
      <c r="E414" s="25"/>
      <c r="F414" s="25"/>
      <c r="G414" s="25"/>
      <c r="H414" s="25"/>
      <c r="I414" s="26"/>
      <c r="J414" s="26"/>
      <c r="K414" s="26"/>
      <c r="L414" s="30" t="str">
        <f aca="true">IF(OR($J414="",$H414="Done",$H414="Cancelled"),"",$J414-TODAY())</f>
        <v/>
      </c>
      <c r="M414" s="29" t="str">
        <f aca="true">IF(AND($J414&lt;&gt;"",$H414&lt;&gt;"Done",$H414&lt;&gt;"Cancelled",$J414&lt;TODAY()),"OVERDUE","")</f>
        <v/>
      </c>
      <c r="N414" s="25"/>
      <c r="O414" s="26"/>
      <c r="P414" s="25"/>
    </row>
    <row r="415" customFormat="false" ht="15" hidden="false" customHeight="false" outlineLevel="0" collapsed="false">
      <c r="A415" s="25"/>
      <c r="B415" s="25"/>
      <c r="C415" s="29" t="str">
        <f aca="false">IF($B415="","",IFERROR(INDEX(Projects!$B$5:$B$204,MATCH($B415,Projects!$A$5:$A$204,0)),"Unknown project ID"))</f>
        <v/>
      </c>
      <c r="D415" s="25"/>
      <c r="E415" s="25"/>
      <c r="F415" s="25"/>
      <c r="G415" s="25"/>
      <c r="H415" s="25"/>
      <c r="I415" s="26"/>
      <c r="J415" s="26"/>
      <c r="K415" s="26"/>
      <c r="L415" s="30" t="str">
        <f aca="true">IF(OR($J415="",$H415="Done",$H415="Cancelled"),"",$J415-TODAY())</f>
        <v/>
      </c>
      <c r="M415" s="29" t="str">
        <f aca="true">IF(AND($J415&lt;&gt;"",$H415&lt;&gt;"Done",$H415&lt;&gt;"Cancelled",$J415&lt;TODAY()),"OVERDUE","")</f>
        <v/>
      </c>
      <c r="N415" s="25"/>
      <c r="O415" s="26"/>
      <c r="P415" s="25"/>
    </row>
    <row r="416" customFormat="false" ht="15" hidden="false" customHeight="false" outlineLevel="0" collapsed="false">
      <c r="A416" s="25"/>
      <c r="B416" s="25"/>
      <c r="C416" s="29" t="str">
        <f aca="false">IF($B416="","",IFERROR(INDEX(Projects!$B$5:$B$204,MATCH($B416,Projects!$A$5:$A$204,0)),"Unknown project ID"))</f>
        <v/>
      </c>
      <c r="D416" s="25"/>
      <c r="E416" s="25"/>
      <c r="F416" s="25"/>
      <c r="G416" s="25"/>
      <c r="H416" s="25"/>
      <c r="I416" s="26"/>
      <c r="J416" s="26"/>
      <c r="K416" s="26"/>
      <c r="L416" s="30" t="str">
        <f aca="true">IF(OR($J416="",$H416="Done",$H416="Cancelled"),"",$J416-TODAY())</f>
        <v/>
      </c>
      <c r="M416" s="29" t="str">
        <f aca="true">IF(AND($J416&lt;&gt;"",$H416&lt;&gt;"Done",$H416&lt;&gt;"Cancelled",$J416&lt;TODAY()),"OVERDUE","")</f>
        <v/>
      </c>
      <c r="N416" s="25"/>
      <c r="O416" s="26"/>
      <c r="P416" s="25"/>
    </row>
    <row r="417" customFormat="false" ht="15" hidden="false" customHeight="false" outlineLevel="0" collapsed="false">
      <c r="A417" s="25"/>
      <c r="B417" s="25"/>
      <c r="C417" s="29" t="str">
        <f aca="false">IF($B417="","",IFERROR(INDEX(Projects!$B$5:$B$204,MATCH($B417,Projects!$A$5:$A$204,0)),"Unknown project ID"))</f>
        <v/>
      </c>
      <c r="D417" s="25"/>
      <c r="E417" s="25"/>
      <c r="F417" s="25"/>
      <c r="G417" s="25"/>
      <c r="H417" s="25"/>
      <c r="I417" s="26"/>
      <c r="J417" s="26"/>
      <c r="K417" s="26"/>
      <c r="L417" s="30" t="str">
        <f aca="true">IF(OR($J417="",$H417="Done",$H417="Cancelled"),"",$J417-TODAY())</f>
        <v/>
      </c>
      <c r="M417" s="29" t="str">
        <f aca="true">IF(AND($J417&lt;&gt;"",$H417&lt;&gt;"Done",$H417&lt;&gt;"Cancelled",$J417&lt;TODAY()),"OVERDUE","")</f>
        <v/>
      </c>
      <c r="N417" s="25"/>
      <c r="O417" s="26"/>
      <c r="P417" s="25"/>
    </row>
    <row r="418" customFormat="false" ht="15" hidden="false" customHeight="false" outlineLevel="0" collapsed="false">
      <c r="A418" s="25"/>
      <c r="B418" s="25"/>
      <c r="C418" s="29" t="str">
        <f aca="false">IF($B418="","",IFERROR(INDEX(Projects!$B$5:$B$204,MATCH($B418,Projects!$A$5:$A$204,0)),"Unknown project ID"))</f>
        <v/>
      </c>
      <c r="D418" s="25"/>
      <c r="E418" s="25"/>
      <c r="F418" s="25"/>
      <c r="G418" s="25"/>
      <c r="H418" s="25"/>
      <c r="I418" s="26"/>
      <c r="J418" s="26"/>
      <c r="K418" s="26"/>
      <c r="L418" s="30" t="str">
        <f aca="true">IF(OR($J418="",$H418="Done",$H418="Cancelled"),"",$J418-TODAY())</f>
        <v/>
      </c>
      <c r="M418" s="29" t="str">
        <f aca="true">IF(AND($J418&lt;&gt;"",$H418&lt;&gt;"Done",$H418&lt;&gt;"Cancelled",$J418&lt;TODAY()),"OVERDUE","")</f>
        <v/>
      </c>
      <c r="N418" s="25"/>
      <c r="O418" s="26"/>
      <c r="P418" s="25"/>
    </row>
    <row r="419" customFormat="false" ht="15" hidden="false" customHeight="false" outlineLevel="0" collapsed="false">
      <c r="A419" s="25"/>
      <c r="B419" s="25"/>
      <c r="C419" s="29" t="str">
        <f aca="false">IF($B419="","",IFERROR(INDEX(Projects!$B$5:$B$204,MATCH($B419,Projects!$A$5:$A$204,0)),"Unknown project ID"))</f>
        <v/>
      </c>
      <c r="D419" s="25"/>
      <c r="E419" s="25"/>
      <c r="F419" s="25"/>
      <c r="G419" s="25"/>
      <c r="H419" s="25"/>
      <c r="I419" s="26"/>
      <c r="J419" s="26"/>
      <c r="K419" s="26"/>
      <c r="L419" s="30" t="str">
        <f aca="true">IF(OR($J419="",$H419="Done",$H419="Cancelled"),"",$J419-TODAY())</f>
        <v/>
      </c>
      <c r="M419" s="29" t="str">
        <f aca="true">IF(AND($J419&lt;&gt;"",$H419&lt;&gt;"Done",$H419&lt;&gt;"Cancelled",$J419&lt;TODAY()),"OVERDUE","")</f>
        <v/>
      </c>
      <c r="N419" s="25"/>
      <c r="O419" s="26"/>
      <c r="P419" s="25"/>
    </row>
    <row r="420" customFormat="false" ht="15" hidden="false" customHeight="false" outlineLevel="0" collapsed="false">
      <c r="A420" s="25"/>
      <c r="B420" s="25"/>
      <c r="C420" s="29" t="str">
        <f aca="false">IF($B420="","",IFERROR(INDEX(Projects!$B$5:$B$204,MATCH($B420,Projects!$A$5:$A$204,0)),"Unknown project ID"))</f>
        <v/>
      </c>
      <c r="D420" s="25"/>
      <c r="E420" s="25"/>
      <c r="F420" s="25"/>
      <c r="G420" s="25"/>
      <c r="H420" s="25"/>
      <c r="I420" s="26"/>
      <c r="J420" s="26"/>
      <c r="K420" s="26"/>
      <c r="L420" s="30" t="str">
        <f aca="true">IF(OR($J420="",$H420="Done",$H420="Cancelled"),"",$J420-TODAY())</f>
        <v/>
      </c>
      <c r="M420" s="29" t="str">
        <f aca="true">IF(AND($J420&lt;&gt;"",$H420&lt;&gt;"Done",$H420&lt;&gt;"Cancelled",$J420&lt;TODAY()),"OVERDUE","")</f>
        <v/>
      </c>
      <c r="N420" s="25"/>
      <c r="O420" s="26"/>
      <c r="P420" s="25"/>
    </row>
    <row r="421" customFormat="false" ht="15" hidden="false" customHeight="false" outlineLevel="0" collapsed="false">
      <c r="A421" s="25"/>
      <c r="B421" s="25"/>
      <c r="C421" s="29" t="str">
        <f aca="false">IF($B421="","",IFERROR(INDEX(Projects!$B$5:$B$204,MATCH($B421,Projects!$A$5:$A$204,0)),"Unknown project ID"))</f>
        <v/>
      </c>
      <c r="D421" s="25"/>
      <c r="E421" s="25"/>
      <c r="F421" s="25"/>
      <c r="G421" s="25"/>
      <c r="H421" s="25"/>
      <c r="I421" s="26"/>
      <c r="J421" s="26"/>
      <c r="K421" s="26"/>
      <c r="L421" s="30" t="str">
        <f aca="true">IF(OR($J421="",$H421="Done",$H421="Cancelled"),"",$J421-TODAY())</f>
        <v/>
      </c>
      <c r="M421" s="29" t="str">
        <f aca="true">IF(AND($J421&lt;&gt;"",$H421&lt;&gt;"Done",$H421&lt;&gt;"Cancelled",$J421&lt;TODAY()),"OVERDUE","")</f>
        <v/>
      </c>
      <c r="N421" s="25"/>
      <c r="O421" s="26"/>
      <c r="P421" s="25"/>
    </row>
    <row r="422" customFormat="false" ht="15" hidden="false" customHeight="false" outlineLevel="0" collapsed="false">
      <c r="A422" s="25"/>
      <c r="B422" s="25"/>
      <c r="C422" s="29" t="str">
        <f aca="false">IF($B422="","",IFERROR(INDEX(Projects!$B$5:$B$204,MATCH($B422,Projects!$A$5:$A$204,0)),"Unknown project ID"))</f>
        <v/>
      </c>
      <c r="D422" s="25"/>
      <c r="E422" s="25"/>
      <c r="F422" s="25"/>
      <c r="G422" s="25"/>
      <c r="H422" s="25"/>
      <c r="I422" s="26"/>
      <c r="J422" s="26"/>
      <c r="K422" s="26"/>
      <c r="L422" s="30" t="str">
        <f aca="true">IF(OR($J422="",$H422="Done",$H422="Cancelled"),"",$J422-TODAY())</f>
        <v/>
      </c>
      <c r="M422" s="29" t="str">
        <f aca="true">IF(AND($J422&lt;&gt;"",$H422&lt;&gt;"Done",$H422&lt;&gt;"Cancelled",$J422&lt;TODAY()),"OVERDUE","")</f>
        <v/>
      </c>
      <c r="N422" s="25"/>
      <c r="O422" s="26"/>
      <c r="P422" s="25"/>
    </row>
    <row r="423" customFormat="false" ht="15" hidden="false" customHeight="false" outlineLevel="0" collapsed="false">
      <c r="A423" s="25"/>
      <c r="B423" s="25"/>
      <c r="C423" s="29" t="str">
        <f aca="false">IF($B423="","",IFERROR(INDEX(Projects!$B$5:$B$204,MATCH($B423,Projects!$A$5:$A$204,0)),"Unknown project ID"))</f>
        <v/>
      </c>
      <c r="D423" s="25"/>
      <c r="E423" s="25"/>
      <c r="F423" s="25"/>
      <c r="G423" s="25"/>
      <c r="H423" s="25"/>
      <c r="I423" s="26"/>
      <c r="J423" s="26"/>
      <c r="K423" s="26"/>
      <c r="L423" s="30" t="str">
        <f aca="true">IF(OR($J423="",$H423="Done",$H423="Cancelled"),"",$J423-TODAY())</f>
        <v/>
      </c>
      <c r="M423" s="29" t="str">
        <f aca="true">IF(AND($J423&lt;&gt;"",$H423&lt;&gt;"Done",$H423&lt;&gt;"Cancelled",$J423&lt;TODAY()),"OVERDUE","")</f>
        <v/>
      </c>
      <c r="N423" s="25"/>
      <c r="O423" s="26"/>
      <c r="P423" s="25"/>
    </row>
    <row r="424" customFormat="false" ht="15" hidden="false" customHeight="false" outlineLevel="0" collapsed="false">
      <c r="A424" s="25"/>
      <c r="B424" s="25"/>
      <c r="C424" s="29" t="str">
        <f aca="false">IF($B424="","",IFERROR(INDEX(Projects!$B$5:$B$204,MATCH($B424,Projects!$A$5:$A$204,0)),"Unknown project ID"))</f>
        <v/>
      </c>
      <c r="D424" s="25"/>
      <c r="E424" s="25"/>
      <c r="F424" s="25"/>
      <c r="G424" s="25"/>
      <c r="H424" s="25"/>
      <c r="I424" s="26"/>
      <c r="J424" s="26"/>
      <c r="K424" s="26"/>
      <c r="L424" s="30" t="str">
        <f aca="true">IF(OR($J424="",$H424="Done",$H424="Cancelled"),"",$J424-TODAY())</f>
        <v/>
      </c>
      <c r="M424" s="29" t="str">
        <f aca="true">IF(AND($J424&lt;&gt;"",$H424&lt;&gt;"Done",$H424&lt;&gt;"Cancelled",$J424&lt;TODAY()),"OVERDUE","")</f>
        <v/>
      </c>
      <c r="N424" s="25"/>
      <c r="O424" s="26"/>
      <c r="P424" s="25"/>
    </row>
    <row r="425" customFormat="false" ht="15" hidden="false" customHeight="false" outlineLevel="0" collapsed="false">
      <c r="A425" s="25"/>
      <c r="B425" s="25"/>
      <c r="C425" s="29" t="str">
        <f aca="false">IF($B425="","",IFERROR(INDEX(Projects!$B$5:$B$204,MATCH($B425,Projects!$A$5:$A$204,0)),"Unknown project ID"))</f>
        <v/>
      </c>
      <c r="D425" s="25"/>
      <c r="E425" s="25"/>
      <c r="F425" s="25"/>
      <c r="G425" s="25"/>
      <c r="H425" s="25"/>
      <c r="I425" s="26"/>
      <c r="J425" s="26"/>
      <c r="K425" s="26"/>
      <c r="L425" s="30" t="str">
        <f aca="true">IF(OR($J425="",$H425="Done",$H425="Cancelled"),"",$J425-TODAY())</f>
        <v/>
      </c>
      <c r="M425" s="29" t="str">
        <f aca="true">IF(AND($J425&lt;&gt;"",$H425&lt;&gt;"Done",$H425&lt;&gt;"Cancelled",$J425&lt;TODAY()),"OVERDUE","")</f>
        <v/>
      </c>
      <c r="N425" s="25"/>
      <c r="O425" s="26"/>
      <c r="P425" s="25"/>
    </row>
    <row r="426" customFormat="false" ht="15" hidden="false" customHeight="false" outlineLevel="0" collapsed="false">
      <c r="A426" s="25"/>
      <c r="B426" s="25"/>
      <c r="C426" s="29" t="str">
        <f aca="false">IF($B426="","",IFERROR(INDEX(Projects!$B$5:$B$204,MATCH($B426,Projects!$A$5:$A$204,0)),"Unknown project ID"))</f>
        <v/>
      </c>
      <c r="D426" s="25"/>
      <c r="E426" s="25"/>
      <c r="F426" s="25"/>
      <c r="G426" s="25"/>
      <c r="H426" s="25"/>
      <c r="I426" s="26"/>
      <c r="J426" s="26"/>
      <c r="K426" s="26"/>
      <c r="L426" s="30" t="str">
        <f aca="true">IF(OR($J426="",$H426="Done",$H426="Cancelled"),"",$J426-TODAY())</f>
        <v/>
      </c>
      <c r="M426" s="29" t="str">
        <f aca="true">IF(AND($J426&lt;&gt;"",$H426&lt;&gt;"Done",$H426&lt;&gt;"Cancelled",$J426&lt;TODAY()),"OVERDUE","")</f>
        <v/>
      </c>
      <c r="N426" s="25"/>
      <c r="O426" s="26"/>
      <c r="P426" s="25"/>
    </row>
    <row r="427" customFormat="false" ht="15" hidden="false" customHeight="false" outlineLevel="0" collapsed="false">
      <c r="A427" s="25"/>
      <c r="B427" s="25"/>
      <c r="C427" s="29" t="str">
        <f aca="false">IF($B427="","",IFERROR(INDEX(Projects!$B$5:$B$204,MATCH($B427,Projects!$A$5:$A$204,0)),"Unknown project ID"))</f>
        <v/>
      </c>
      <c r="D427" s="25"/>
      <c r="E427" s="25"/>
      <c r="F427" s="25"/>
      <c r="G427" s="25"/>
      <c r="H427" s="25"/>
      <c r="I427" s="26"/>
      <c r="J427" s="26"/>
      <c r="K427" s="26"/>
      <c r="L427" s="30" t="str">
        <f aca="true">IF(OR($J427="",$H427="Done",$H427="Cancelled"),"",$J427-TODAY())</f>
        <v/>
      </c>
      <c r="M427" s="29" t="str">
        <f aca="true">IF(AND($J427&lt;&gt;"",$H427&lt;&gt;"Done",$H427&lt;&gt;"Cancelled",$J427&lt;TODAY()),"OVERDUE","")</f>
        <v/>
      </c>
      <c r="N427" s="25"/>
      <c r="O427" s="26"/>
      <c r="P427" s="25"/>
    </row>
    <row r="428" customFormat="false" ht="15" hidden="false" customHeight="false" outlineLevel="0" collapsed="false">
      <c r="A428" s="25"/>
      <c r="B428" s="25"/>
      <c r="C428" s="29" t="str">
        <f aca="false">IF($B428="","",IFERROR(INDEX(Projects!$B$5:$B$204,MATCH($B428,Projects!$A$5:$A$204,0)),"Unknown project ID"))</f>
        <v/>
      </c>
      <c r="D428" s="25"/>
      <c r="E428" s="25"/>
      <c r="F428" s="25"/>
      <c r="G428" s="25"/>
      <c r="H428" s="25"/>
      <c r="I428" s="26"/>
      <c r="J428" s="26"/>
      <c r="K428" s="26"/>
      <c r="L428" s="30" t="str">
        <f aca="true">IF(OR($J428="",$H428="Done",$H428="Cancelled"),"",$J428-TODAY())</f>
        <v/>
      </c>
      <c r="M428" s="29" t="str">
        <f aca="true">IF(AND($J428&lt;&gt;"",$H428&lt;&gt;"Done",$H428&lt;&gt;"Cancelled",$J428&lt;TODAY()),"OVERDUE","")</f>
        <v/>
      </c>
      <c r="N428" s="25"/>
      <c r="O428" s="26"/>
      <c r="P428" s="25"/>
    </row>
    <row r="429" customFormat="false" ht="15" hidden="false" customHeight="false" outlineLevel="0" collapsed="false">
      <c r="A429" s="25"/>
      <c r="B429" s="25"/>
      <c r="C429" s="29" t="str">
        <f aca="false">IF($B429="","",IFERROR(INDEX(Projects!$B$5:$B$204,MATCH($B429,Projects!$A$5:$A$204,0)),"Unknown project ID"))</f>
        <v/>
      </c>
      <c r="D429" s="25"/>
      <c r="E429" s="25"/>
      <c r="F429" s="25"/>
      <c r="G429" s="25"/>
      <c r="H429" s="25"/>
      <c r="I429" s="26"/>
      <c r="J429" s="26"/>
      <c r="K429" s="26"/>
      <c r="L429" s="30" t="str">
        <f aca="true">IF(OR($J429="",$H429="Done",$H429="Cancelled"),"",$J429-TODAY())</f>
        <v/>
      </c>
      <c r="M429" s="29" t="str">
        <f aca="true">IF(AND($J429&lt;&gt;"",$H429&lt;&gt;"Done",$H429&lt;&gt;"Cancelled",$J429&lt;TODAY()),"OVERDUE","")</f>
        <v/>
      </c>
      <c r="N429" s="25"/>
      <c r="O429" s="26"/>
      <c r="P429" s="25"/>
    </row>
    <row r="430" customFormat="false" ht="15" hidden="false" customHeight="false" outlineLevel="0" collapsed="false">
      <c r="A430" s="25"/>
      <c r="B430" s="25"/>
      <c r="C430" s="29" t="str">
        <f aca="false">IF($B430="","",IFERROR(INDEX(Projects!$B$5:$B$204,MATCH($B430,Projects!$A$5:$A$204,0)),"Unknown project ID"))</f>
        <v/>
      </c>
      <c r="D430" s="25"/>
      <c r="E430" s="25"/>
      <c r="F430" s="25"/>
      <c r="G430" s="25"/>
      <c r="H430" s="25"/>
      <c r="I430" s="26"/>
      <c r="J430" s="26"/>
      <c r="K430" s="26"/>
      <c r="L430" s="30" t="str">
        <f aca="true">IF(OR($J430="",$H430="Done",$H430="Cancelled"),"",$J430-TODAY())</f>
        <v/>
      </c>
      <c r="M430" s="29" t="str">
        <f aca="true">IF(AND($J430&lt;&gt;"",$H430&lt;&gt;"Done",$H430&lt;&gt;"Cancelled",$J430&lt;TODAY()),"OVERDUE","")</f>
        <v/>
      </c>
      <c r="N430" s="25"/>
      <c r="O430" s="26"/>
      <c r="P430" s="25"/>
    </row>
    <row r="431" customFormat="false" ht="15" hidden="false" customHeight="false" outlineLevel="0" collapsed="false">
      <c r="A431" s="25"/>
      <c r="B431" s="25"/>
      <c r="C431" s="29" t="str">
        <f aca="false">IF($B431="","",IFERROR(INDEX(Projects!$B$5:$B$204,MATCH($B431,Projects!$A$5:$A$204,0)),"Unknown project ID"))</f>
        <v/>
      </c>
      <c r="D431" s="25"/>
      <c r="E431" s="25"/>
      <c r="F431" s="25"/>
      <c r="G431" s="25"/>
      <c r="H431" s="25"/>
      <c r="I431" s="26"/>
      <c r="J431" s="26"/>
      <c r="K431" s="26"/>
      <c r="L431" s="30" t="str">
        <f aca="true">IF(OR($J431="",$H431="Done",$H431="Cancelled"),"",$J431-TODAY())</f>
        <v/>
      </c>
      <c r="M431" s="29" t="str">
        <f aca="true">IF(AND($J431&lt;&gt;"",$H431&lt;&gt;"Done",$H431&lt;&gt;"Cancelled",$J431&lt;TODAY()),"OVERDUE","")</f>
        <v/>
      </c>
      <c r="N431" s="25"/>
      <c r="O431" s="26"/>
      <c r="P431" s="25"/>
    </row>
    <row r="432" customFormat="false" ht="15" hidden="false" customHeight="false" outlineLevel="0" collapsed="false">
      <c r="A432" s="25"/>
      <c r="B432" s="25"/>
      <c r="C432" s="29" t="str">
        <f aca="false">IF($B432="","",IFERROR(INDEX(Projects!$B$5:$B$204,MATCH($B432,Projects!$A$5:$A$204,0)),"Unknown project ID"))</f>
        <v/>
      </c>
      <c r="D432" s="25"/>
      <c r="E432" s="25"/>
      <c r="F432" s="25"/>
      <c r="G432" s="25"/>
      <c r="H432" s="25"/>
      <c r="I432" s="26"/>
      <c r="J432" s="26"/>
      <c r="K432" s="26"/>
      <c r="L432" s="30" t="str">
        <f aca="true">IF(OR($J432="",$H432="Done",$H432="Cancelled"),"",$J432-TODAY())</f>
        <v/>
      </c>
      <c r="M432" s="29" t="str">
        <f aca="true">IF(AND($J432&lt;&gt;"",$H432&lt;&gt;"Done",$H432&lt;&gt;"Cancelled",$J432&lt;TODAY()),"OVERDUE","")</f>
        <v/>
      </c>
      <c r="N432" s="25"/>
      <c r="O432" s="26"/>
      <c r="P432" s="25"/>
    </row>
    <row r="433" customFormat="false" ht="15" hidden="false" customHeight="false" outlineLevel="0" collapsed="false">
      <c r="A433" s="25"/>
      <c r="B433" s="25"/>
      <c r="C433" s="29" t="str">
        <f aca="false">IF($B433="","",IFERROR(INDEX(Projects!$B$5:$B$204,MATCH($B433,Projects!$A$5:$A$204,0)),"Unknown project ID"))</f>
        <v/>
      </c>
      <c r="D433" s="25"/>
      <c r="E433" s="25"/>
      <c r="F433" s="25"/>
      <c r="G433" s="25"/>
      <c r="H433" s="25"/>
      <c r="I433" s="26"/>
      <c r="J433" s="26"/>
      <c r="K433" s="26"/>
      <c r="L433" s="30" t="str">
        <f aca="true">IF(OR($J433="",$H433="Done",$H433="Cancelled"),"",$J433-TODAY())</f>
        <v/>
      </c>
      <c r="M433" s="29" t="str">
        <f aca="true">IF(AND($J433&lt;&gt;"",$H433&lt;&gt;"Done",$H433&lt;&gt;"Cancelled",$J433&lt;TODAY()),"OVERDUE","")</f>
        <v/>
      </c>
      <c r="N433" s="25"/>
      <c r="O433" s="26"/>
      <c r="P433" s="25"/>
    </row>
    <row r="434" customFormat="false" ht="15" hidden="false" customHeight="false" outlineLevel="0" collapsed="false">
      <c r="A434" s="25"/>
      <c r="B434" s="25"/>
      <c r="C434" s="29" t="str">
        <f aca="false">IF($B434="","",IFERROR(INDEX(Projects!$B$5:$B$204,MATCH($B434,Projects!$A$5:$A$204,0)),"Unknown project ID"))</f>
        <v/>
      </c>
      <c r="D434" s="25"/>
      <c r="E434" s="25"/>
      <c r="F434" s="25"/>
      <c r="G434" s="25"/>
      <c r="H434" s="25"/>
      <c r="I434" s="26"/>
      <c r="J434" s="26"/>
      <c r="K434" s="26"/>
      <c r="L434" s="30" t="str">
        <f aca="true">IF(OR($J434="",$H434="Done",$H434="Cancelled"),"",$J434-TODAY())</f>
        <v/>
      </c>
      <c r="M434" s="29" t="str">
        <f aca="true">IF(AND($J434&lt;&gt;"",$H434&lt;&gt;"Done",$H434&lt;&gt;"Cancelled",$J434&lt;TODAY()),"OVERDUE","")</f>
        <v/>
      </c>
      <c r="N434" s="25"/>
      <c r="O434" s="26"/>
      <c r="P434" s="25"/>
    </row>
    <row r="435" customFormat="false" ht="15" hidden="false" customHeight="false" outlineLevel="0" collapsed="false">
      <c r="A435" s="25"/>
      <c r="B435" s="25"/>
      <c r="C435" s="29" t="str">
        <f aca="false">IF($B435="","",IFERROR(INDEX(Projects!$B$5:$B$204,MATCH($B435,Projects!$A$5:$A$204,0)),"Unknown project ID"))</f>
        <v/>
      </c>
      <c r="D435" s="25"/>
      <c r="E435" s="25"/>
      <c r="F435" s="25"/>
      <c r="G435" s="25"/>
      <c r="H435" s="25"/>
      <c r="I435" s="26"/>
      <c r="J435" s="26"/>
      <c r="K435" s="26"/>
      <c r="L435" s="30" t="str">
        <f aca="true">IF(OR($J435="",$H435="Done",$H435="Cancelled"),"",$J435-TODAY())</f>
        <v/>
      </c>
      <c r="M435" s="29" t="str">
        <f aca="true">IF(AND($J435&lt;&gt;"",$H435&lt;&gt;"Done",$H435&lt;&gt;"Cancelled",$J435&lt;TODAY()),"OVERDUE","")</f>
        <v/>
      </c>
      <c r="N435" s="25"/>
      <c r="O435" s="26"/>
      <c r="P435" s="25"/>
    </row>
    <row r="436" customFormat="false" ht="15" hidden="false" customHeight="false" outlineLevel="0" collapsed="false">
      <c r="A436" s="25"/>
      <c r="B436" s="25"/>
      <c r="C436" s="29" t="str">
        <f aca="false">IF($B436="","",IFERROR(INDEX(Projects!$B$5:$B$204,MATCH($B436,Projects!$A$5:$A$204,0)),"Unknown project ID"))</f>
        <v/>
      </c>
      <c r="D436" s="25"/>
      <c r="E436" s="25"/>
      <c r="F436" s="25"/>
      <c r="G436" s="25"/>
      <c r="H436" s="25"/>
      <c r="I436" s="26"/>
      <c r="J436" s="26"/>
      <c r="K436" s="26"/>
      <c r="L436" s="30" t="str">
        <f aca="true">IF(OR($J436="",$H436="Done",$H436="Cancelled"),"",$J436-TODAY())</f>
        <v/>
      </c>
      <c r="M436" s="29" t="str">
        <f aca="true">IF(AND($J436&lt;&gt;"",$H436&lt;&gt;"Done",$H436&lt;&gt;"Cancelled",$J436&lt;TODAY()),"OVERDUE","")</f>
        <v/>
      </c>
      <c r="N436" s="25"/>
      <c r="O436" s="26"/>
      <c r="P436" s="25"/>
    </row>
    <row r="437" customFormat="false" ht="15" hidden="false" customHeight="false" outlineLevel="0" collapsed="false">
      <c r="A437" s="25"/>
      <c r="B437" s="25"/>
      <c r="C437" s="29" t="str">
        <f aca="false">IF($B437="","",IFERROR(INDEX(Projects!$B$5:$B$204,MATCH($B437,Projects!$A$5:$A$204,0)),"Unknown project ID"))</f>
        <v/>
      </c>
      <c r="D437" s="25"/>
      <c r="E437" s="25"/>
      <c r="F437" s="25"/>
      <c r="G437" s="25"/>
      <c r="H437" s="25"/>
      <c r="I437" s="26"/>
      <c r="J437" s="26"/>
      <c r="K437" s="26"/>
      <c r="L437" s="30" t="str">
        <f aca="true">IF(OR($J437="",$H437="Done",$H437="Cancelled"),"",$J437-TODAY())</f>
        <v/>
      </c>
      <c r="M437" s="29" t="str">
        <f aca="true">IF(AND($J437&lt;&gt;"",$H437&lt;&gt;"Done",$H437&lt;&gt;"Cancelled",$J437&lt;TODAY()),"OVERDUE","")</f>
        <v/>
      </c>
      <c r="N437" s="25"/>
      <c r="O437" s="26"/>
      <c r="P437" s="25"/>
    </row>
    <row r="438" customFormat="false" ht="15" hidden="false" customHeight="false" outlineLevel="0" collapsed="false">
      <c r="A438" s="25"/>
      <c r="B438" s="25"/>
      <c r="C438" s="29" t="str">
        <f aca="false">IF($B438="","",IFERROR(INDEX(Projects!$B$5:$B$204,MATCH($B438,Projects!$A$5:$A$204,0)),"Unknown project ID"))</f>
        <v/>
      </c>
      <c r="D438" s="25"/>
      <c r="E438" s="25"/>
      <c r="F438" s="25"/>
      <c r="G438" s="25"/>
      <c r="H438" s="25"/>
      <c r="I438" s="26"/>
      <c r="J438" s="26"/>
      <c r="K438" s="26"/>
      <c r="L438" s="30" t="str">
        <f aca="true">IF(OR($J438="",$H438="Done",$H438="Cancelled"),"",$J438-TODAY())</f>
        <v/>
      </c>
      <c r="M438" s="29" t="str">
        <f aca="true">IF(AND($J438&lt;&gt;"",$H438&lt;&gt;"Done",$H438&lt;&gt;"Cancelled",$J438&lt;TODAY()),"OVERDUE","")</f>
        <v/>
      </c>
      <c r="N438" s="25"/>
      <c r="O438" s="26"/>
      <c r="P438" s="25"/>
    </row>
    <row r="439" customFormat="false" ht="15" hidden="false" customHeight="false" outlineLevel="0" collapsed="false">
      <c r="A439" s="25"/>
      <c r="B439" s="25"/>
      <c r="C439" s="29" t="str">
        <f aca="false">IF($B439="","",IFERROR(INDEX(Projects!$B$5:$B$204,MATCH($B439,Projects!$A$5:$A$204,0)),"Unknown project ID"))</f>
        <v/>
      </c>
      <c r="D439" s="25"/>
      <c r="E439" s="25"/>
      <c r="F439" s="25"/>
      <c r="G439" s="25"/>
      <c r="H439" s="25"/>
      <c r="I439" s="26"/>
      <c r="J439" s="26"/>
      <c r="K439" s="26"/>
      <c r="L439" s="30" t="str">
        <f aca="true">IF(OR($J439="",$H439="Done",$H439="Cancelled"),"",$J439-TODAY())</f>
        <v/>
      </c>
      <c r="M439" s="29" t="str">
        <f aca="true">IF(AND($J439&lt;&gt;"",$H439&lt;&gt;"Done",$H439&lt;&gt;"Cancelled",$J439&lt;TODAY()),"OVERDUE","")</f>
        <v/>
      </c>
      <c r="N439" s="25"/>
      <c r="O439" s="26"/>
      <c r="P439" s="25"/>
    </row>
    <row r="440" customFormat="false" ht="15" hidden="false" customHeight="false" outlineLevel="0" collapsed="false">
      <c r="A440" s="25"/>
      <c r="B440" s="25"/>
      <c r="C440" s="29" t="str">
        <f aca="false">IF($B440="","",IFERROR(INDEX(Projects!$B$5:$B$204,MATCH($B440,Projects!$A$5:$A$204,0)),"Unknown project ID"))</f>
        <v/>
      </c>
      <c r="D440" s="25"/>
      <c r="E440" s="25"/>
      <c r="F440" s="25"/>
      <c r="G440" s="25"/>
      <c r="H440" s="25"/>
      <c r="I440" s="26"/>
      <c r="J440" s="26"/>
      <c r="K440" s="26"/>
      <c r="L440" s="30" t="str">
        <f aca="true">IF(OR($J440="",$H440="Done",$H440="Cancelled"),"",$J440-TODAY())</f>
        <v/>
      </c>
      <c r="M440" s="29" t="str">
        <f aca="true">IF(AND($J440&lt;&gt;"",$H440&lt;&gt;"Done",$H440&lt;&gt;"Cancelled",$J440&lt;TODAY()),"OVERDUE","")</f>
        <v/>
      </c>
      <c r="N440" s="25"/>
      <c r="O440" s="26"/>
      <c r="P440" s="25"/>
    </row>
    <row r="441" customFormat="false" ht="15" hidden="false" customHeight="false" outlineLevel="0" collapsed="false">
      <c r="A441" s="25"/>
      <c r="B441" s="25"/>
      <c r="C441" s="29" t="str">
        <f aca="false">IF($B441="","",IFERROR(INDEX(Projects!$B$5:$B$204,MATCH($B441,Projects!$A$5:$A$204,0)),"Unknown project ID"))</f>
        <v/>
      </c>
      <c r="D441" s="25"/>
      <c r="E441" s="25"/>
      <c r="F441" s="25"/>
      <c r="G441" s="25"/>
      <c r="H441" s="25"/>
      <c r="I441" s="26"/>
      <c r="J441" s="26"/>
      <c r="K441" s="26"/>
      <c r="L441" s="30" t="str">
        <f aca="true">IF(OR($J441="",$H441="Done",$H441="Cancelled"),"",$J441-TODAY())</f>
        <v/>
      </c>
      <c r="M441" s="29" t="str">
        <f aca="true">IF(AND($J441&lt;&gt;"",$H441&lt;&gt;"Done",$H441&lt;&gt;"Cancelled",$J441&lt;TODAY()),"OVERDUE","")</f>
        <v/>
      </c>
      <c r="N441" s="25"/>
      <c r="O441" s="26"/>
      <c r="P441" s="25"/>
    </row>
    <row r="442" customFormat="false" ht="15" hidden="false" customHeight="false" outlineLevel="0" collapsed="false">
      <c r="A442" s="25"/>
      <c r="B442" s="25"/>
      <c r="C442" s="29" t="str">
        <f aca="false">IF($B442="","",IFERROR(INDEX(Projects!$B$5:$B$204,MATCH($B442,Projects!$A$5:$A$204,0)),"Unknown project ID"))</f>
        <v/>
      </c>
      <c r="D442" s="25"/>
      <c r="E442" s="25"/>
      <c r="F442" s="25"/>
      <c r="G442" s="25"/>
      <c r="H442" s="25"/>
      <c r="I442" s="26"/>
      <c r="J442" s="26"/>
      <c r="K442" s="26"/>
      <c r="L442" s="30" t="str">
        <f aca="true">IF(OR($J442="",$H442="Done",$H442="Cancelled"),"",$J442-TODAY())</f>
        <v/>
      </c>
      <c r="M442" s="29" t="str">
        <f aca="true">IF(AND($J442&lt;&gt;"",$H442&lt;&gt;"Done",$H442&lt;&gt;"Cancelled",$J442&lt;TODAY()),"OVERDUE","")</f>
        <v/>
      </c>
      <c r="N442" s="25"/>
      <c r="O442" s="26"/>
      <c r="P442" s="25"/>
    </row>
    <row r="443" customFormat="false" ht="15" hidden="false" customHeight="false" outlineLevel="0" collapsed="false">
      <c r="A443" s="25"/>
      <c r="B443" s="25"/>
      <c r="C443" s="29" t="str">
        <f aca="false">IF($B443="","",IFERROR(INDEX(Projects!$B$5:$B$204,MATCH($B443,Projects!$A$5:$A$204,0)),"Unknown project ID"))</f>
        <v/>
      </c>
      <c r="D443" s="25"/>
      <c r="E443" s="25"/>
      <c r="F443" s="25"/>
      <c r="G443" s="25"/>
      <c r="H443" s="25"/>
      <c r="I443" s="26"/>
      <c r="J443" s="26"/>
      <c r="K443" s="26"/>
      <c r="L443" s="30" t="str">
        <f aca="true">IF(OR($J443="",$H443="Done",$H443="Cancelled"),"",$J443-TODAY())</f>
        <v/>
      </c>
      <c r="M443" s="29" t="str">
        <f aca="true">IF(AND($J443&lt;&gt;"",$H443&lt;&gt;"Done",$H443&lt;&gt;"Cancelled",$J443&lt;TODAY()),"OVERDUE","")</f>
        <v/>
      </c>
      <c r="N443" s="25"/>
      <c r="O443" s="26"/>
      <c r="P443" s="25"/>
    </row>
    <row r="444" customFormat="false" ht="15" hidden="false" customHeight="false" outlineLevel="0" collapsed="false">
      <c r="A444" s="25"/>
      <c r="B444" s="25"/>
      <c r="C444" s="29" t="str">
        <f aca="false">IF($B444="","",IFERROR(INDEX(Projects!$B$5:$B$204,MATCH($B444,Projects!$A$5:$A$204,0)),"Unknown project ID"))</f>
        <v/>
      </c>
      <c r="D444" s="25"/>
      <c r="E444" s="25"/>
      <c r="F444" s="25"/>
      <c r="G444" s="25"/>
      <c r="H444" s="25"/>
      <c r="I444" s="26"/>
      <c r="J444" s="26"/>
      <c r="K444" s="26"/>
      <c r="L444" s="30" t="str">
        <f aca="true">IF(OR($J444="",$H444="Done",$H444="Cancelled"),"",$J444-TODAY())</f>
        <v/>
      </c>
      <c r="M444" s="29" t="str">
        <f aca="true">IF(AND($J444&lt;&gt;"",$H444&lt;&gt;"Done",$H444&lt;&gt;"Cancelled",$J444&lt;TODAY()),"OVERDUE","")</f>
        <v/>
      </c>
      <c r="N444" s="25"/>
      <c r="O444" s="26"/>
      <c r="P444" s="25"/>
    </row>
    <row r="445" customFormat="false" ht="15" hidden="false" customHeight="false" outlineLevel="0" collapsed="false">
      <c r="A445" s="25"/>
      <c r="B445" s="25"/>
      <c r="C445" s="29" t="str">
        <f aca="false">IF($B445="","",IFERROR(INDEX(Projects!$B$5:$B$204,MATCH($B445,Projects!$A$5:$A$204,0)),"Unknown project ID"))</f>
        <v/>
      </c>
      <c r="D445" s="25"/>
      <c r="E445" s="25"/>
      <c r="F445" s="25"/>
      <c r="G445" s="25"/>
      <c r="H445" s="25"/>
      <c r="I445" s="26"/>
      <c r="J445" s="26"/>
      <c r="K445" s="26"/>
      <c r="L445" s="30" t="str">
        <f aca="true">IF(OR($J445="",$H445="Done",$H445="Cancelled"),"",$J445-TODAY())</f>
        <v/>
      </c>
      <c r="M445" s="29" t="str">
        <f aca="true">IF(AND($J445&lt;&gt;"",$H445&lt;&gt;"Done",$H445&lt;&gt;"Cancelled",$J445&lt;TODAY()),"OVERDUE","")</f>
        <v/>
      </c>
      <c r="N445" s="25"/>
      <c r="O445" s="26"/>
      <c r="P445" s="25"/>
    </row>
    <row r="446" customFormat="false" ht="15" hidden="false" customHeight="false" outlineLevel="0" collapsed="false">
      <c r="A446" s="25"/>
      <c r="B446" s="25"/>
      <c r="C446" s="29" t="str">
        <f aca="false">IF($B446="","",IFERROR(INDEX(Projects!$B$5:$B$204,MATCH($B446,Projects!$A$5:$A$204,0)),"Unknown project ID"))</f>
        <v/>
      </c>
      <c r="D446" s="25"/>
      <c r="E446" s="25"/>
      <c r="F446" s="25"/>
      <c r="G446" s="25"/>
      <c r="H446" s="25"/>
      <c r="I446" s="26"/>
      <c r="J446" s="26"/>
      <c r="K446" s="26"/>
      <c r="L446" s="30" t="str">
        <f aca="true">IF(OR($J446="",$H446="Done",$H446="Cancelled"),"",$J446-TODAY())</f>
        <v/>
      </c>
      <c r="M446" s="29" t="str">
        <f aca="true">IF(AND($J446&lt;&gt;"",$H446&lt;&gt;"Done",$H446&lt;&gt;"Cancelled",$J446&lt;TODAY()),"OVERDUE","")</f>
        <v/>
      </c>
      <c r="N446" s="25"/>
      <c r="O446" s="26"/>
      <c r="P446" s="25"/>
    </row>
    <row r="447" customFormat="false" ht="15" hidden="false" customHeight="false" outlineLevel="0" collapsed="false">
      <c r="A447" s="25"/>
      <c r="B447" s="25"/>
      <c r="C447" s="29" t="str">
        <f aca="false">IF($B447="","",IFERROR(INDEX(Projects!$B$5:$B$204,MATCH($B447,Projects!$A$5:$A$204,0)),"Unknown project ID"))</f>
        <v/>
      </c>
      <c r="D447" s="25"/>
      <c r="E447" s="25"/>
      <c r="F447" s="25"/>
      <c r="G447" s="25"/>
      <c r="H447" s="25"/>
      <c r="I447" s="26"/>
      <c r="J447" s="26"/>
      <c r="K447" s="26"/>
      <c r="L447" s="30" t="str">
        <f aca="true">IF(OR($J447="",$H447="Done",$H447="Cancelled"),"",$J447-TODAY())</f>
        <v/>
      </c>
      <c r="M447" s="29" t="str">
        <f aca="true">IF(AND($J447&lt;&gt;"",$H447&lt;&gt;"Done",$H447&lt;&gt;"Cancelled",$J447&lt;TODAY()),"OVERDUE","")</f>
        <v/>
      </c>
      <c r="N447" s="25"/>
      <c r="O447" s="26"/>
      <c r="P447" s="25"/>
    </row>
    <row r="448" customFormat="false" ht="15" hidden="false" customHeight="false" outlineLevel="0" collapsed="false">
      <c r="A448" s="25"/>
      <c r="B448" s="25"/>
      <c r="C448" s="29" t="str">
        <f aca="false">IF($B448="","",IFERROR(INDEX(Projects!$B$5:$B$204,MATCH($B448,Projects!$A$5:$A$204,0)),"Unknown project ID"))</f>
        <v/>
      </c>
      <c r="D448" s="25"/>
      <c r="E448" s="25"/>
      <c r="F448" s="25"/>
      <c r="G448" s="25"/>
      <c r="H448" s="25"/>
      <c r="I448" s="26"/>
      <c r="J448" s="26"/>
      <c r="K448" s="26"/>
      <c r="L448" s="30" t="str">
        <f aca="true">IF(OR($J448="",$H448="Done",$H448="Cancelled"),"",$J448-TODAY())</f>
        <v/>
      </c>
      <c r="M448" s="29" t="str">
        <f aca="true">IF(AND($J448&lt;&gt;"",$H448&lt;&gt;"Done",$H448&lt;&gt;"Cancelled",$J448&lt;TODAY()),"OVERDUE","")</f>
        <v/>
      </c>
      <c r="N448" s="25"/>
      <c r="O448" s="26"/>
      <c r="P448" s="25"/>
    </row>
    <row r="449" customFormat="false" ht="15" hidden="false" customHeight="false" outlineLevel="0" collapsed="false">
      <c r="A449" s="25"/>
      <c r="B449" s="25"/>
      <c r="C449" s="29" t="str">
        <f aca="false">IF($B449="","",IFERROR(INDEX(Projects!$B$5:$B$204,MATCH($B449,Projects!$A$5:$A$204,0)),"Unknown project ID"))</f>
        <v/>
      </c>
      <c r="D449" s="25"/>
      <c r="E449" s="25"/>
      <c r="F449" s="25"/>
      <c r="G449" s="25"/>
      <c r="H449" s="25"/>
      <c r="I449" s="26"/>
      <c r="J449" s="26"/>
      <c r="K449" s="26"/>
      <c r="L449" s="30" t="str">
        <f aca="true">IF(OR($J449="",$H449="Done",$H449="Cancelled"),"",$J449-TODAY())</f>
        <v/>
      </c>
      <c r="M449" s="29" t="str">
        <f aca="true">IF(AND($J449&lt;&gt;"",$H449&lt;&gt;"Done",$H449&lt;&gt;"Cancelled",$J449&lt;TODAY()),"OVERDUE","")</f>
        <v/>
      </c>
      <c r="N449" s="25"/>
      <c r="O449" s="26"/>
      <c r="P449" s="25"/>
    </row>
    <row r="450" customFormat="false" ht="15" hidden="false" customHeight="false" outlineLevel="0" collapsed="false">
      <c r="A450" s="25"/>
      <c r="B450" s="25"/>
      <c r="C450" s="29" t="str">
        <f aca="false">IF($B450="","",IFERROR(INDEX(Projects!$B$5:$B$204,MATCH($B450,Projects!$A$5:$A$204,0)),"Unknown project ID"))</f>
        <v/>
      </c>
      <c r="D450" s="25"/>
      <c r="E450" s="25"/>
      <c r="F450" s="25"/>
      <c r="G450" s="25"/>
      <c r="H450" s="25"/>
      <c r="I450" s="26"/>
      <c r="J450" s="26"/>
      <c r="K450" s="26"/>
      <c r="L450" s="30" t="str">
        <f aca="true">IF(OR($J450="",$H450="Done",$H450="Cancelled"),"",$J450-TODAY())</f>
        <v/>
      </c>
      <c r="M450" s="29" t="str">
        <f aca="true">IF(AND($J450&lt;&gt;"",$H450&lt;&gt;"Done",$H450&lt;&gt;"Cancelled",$J450&lt;TODAY()),"OVERDUE","")</f>
        <v/>
      </c>
      <c r="N450" s="25"/>
      <c r="O450" s="26"/>
      <c r="P450" s="25"/>
    </row>
    <row r="451" customFormat="false" ht="15" hidden="false" customHeight="false" outlineLevel="0" collapsed="false">
      <c r="A451" s="25"/>
      <c r="B451" s="25"/>
      <c r="C451" s="29" t="str">
        <f aca="false">IF($B451="","",IFERROR(INDEX(Projects!$B$5:$B$204,MATCH($B451,Projects!$A$5:$A$204,0)),"Unknown project ID"))</f>
        <v/>
      </c>
      <c r="D451" s="25"/>
      <c r="E451" s="25"/>
      <c r="F451" s="25"/>
      <c r="G451" s="25"/>
      <c r="H451" s="25"/>
      <c r="I451" s="26"/>
      <c r="J451" s="26"/>
      <c r="K451" s="26"/>
      <c r="L451" s="30" t="str">
        <f aca="true">IF(OR($J451="",$H451="Done",$H451="Cancelled"),"",$J451-TODAY())</f>
        <v/>
      </c>
      <c r="M451" s="29" t="str">
        <f aca="true">IF(AND($J451&lt;&gt;"",$H451&lt;&gt;"Done",$H451&lt;&gt;"Cancelled",$J451&lt;TODAY()),"OVERDUE","")</f>
        <v/>
      </c>
      <c r="N451" s="25"/>
      <c r="O451" s="26"/>
      <c r="P451" s="25"/>
    </row>
    <row r="452" customFormat="false" ht="15" hidden="false" customHeight="false" outlineLevel="0" collapsed="false">
      <c r="A452" s="25"/>
      <c r="B452" s="25"/>
      <c r="C452" s="29" t="str">
        <f aca="false">IF($B452="","",IFERROR(INDEX(Projects!$B$5:$B$204,MATCH($B452,Projects!$A$5:$A$204,0)),"Unknown project ID"))</f>
        <v/>
      </c>
      <c r="D452" s="25"/>
      <c r="E452" s="25"/>
      <c r="F452" s="25"/>
      <c r="G452" s="25"/>
      <c r="H452" s="25"/>
      <c r="I452" s="26"/>
      <c r="J452" s="26"/>
      <c r="K452" s="26"/>
      <c r="L452" s="30" t="str">
        <f aca="true">IF(OR($J452="",$H452="Done",$H452="Cancelled"),"",$J452-TODAY())</f>
        <v/>
      </c>
      <c r="M452" s="29" t="str">
        <f aca="true">IF(AND($J452&lt;&gt;"",$H452&lt;&gt;"Done",$H452&lt;&gt;"Cancelled",$J452&lt;TODAY()),"OVERDUE","")</f>
        <v/>
      </c>
      <c r="N452" s="25"/>
      <c r="O452" s="26"/>
      <c r="P452" s="25"/>
    </row>
    <row r="453" customFormat="false" ht="15" hidden="false" customHeight="false" outlineLevel="0" collapsed="false">
      <c r="A453" s="25"/>
      <c r="B453" s="25"/>
      <c r="C453" s="29" t="str">
        <f aca="false">IF($B453="","",IFERROR(INDEX(Projects!$B$5:$B$204,MATCH($B453,Projects!$A$5:$A$204,0)),"Unknown project ID"))</f>
        <v/>
      </c>
      <c r="D453" s="25"/>
      <c r="E453" s="25"/>
      <c r="F453" s="25"/>
      <c r="G453" s="25"/>
      <c r="H453" s="25"/>
      <c r="I453" s="26"/>
      <c r="J453" s="26"/>
      <c r="K453" s="26"/>
      <c r="L453" s="30" t="str">
        <f aca="true">IF(OR($J453="",$H453="Done",$H453="Cancelled"),"",$J453-TODAY())</f>
        <v/>
      </c>
      <c r="M453" s="29" t="str">
        <f aca="true">IF(AND($J453&lt;&gt;"",$H453&lt;&gt;"Done",$H453&lt;&gt;"Cancelled",$J453&lt;TODAY()),"OVERDUE","")</f>
        <v/>
      </c>
      <c r="N453" s="25"/>
      <c r="O453" s="26"/>
      <c r="P453" s="25"/>
    </row>
    <row r="454" customFormat="false" ht="15" hidden="false" customHeight="false" outlineLevel="0" collapsed="false">
      <c r="A454" s="25"/>
      <c r="B454" s="25"/>
      <c r="C454" s="29" t="str">
        <f aca="false">IF($B454="","",IFERROR(INDEX(Projects!$B$5:$B$204,MATCH($B454,Projects!$A$5:$A$204,0)),"Unknown project ID"))</f>
        <v/>
      </c>
      <c r="D454" s="25"/>
      <c r="E454" s="25"/>
      <c r="F454" s="25"/>
      <c r="G454" s="25"/>
      <c r="H454" s="25"/>
      <c r="I454" s="26"/>
      <c r="J454" s="26"/>
      <c r="K454" s="26"/>
      <c r="L454" s="30" t="str">
        <f aca="true">IF(OR($J454="",$H454="Done",$H454="Cancelled"),"",$J454-TODAY())</f>
        <v/>
      </c>
      <c r="M454" s="29" t="str">
        <f aca="true">IF(AND($J454&lt;&gt;"",$H454&lt;&gt;"Done",$H454&lt;&gt;"Cancelled",$J454&lt;TODAY()),"OVERDUE","")</f>
        <v/>
      </c>
      <c r="N454" s="25"/>
      <c r="O454" s="26"/>
      <c r="P454" s="25"/>
    </row>
    <row r="455" customFormat="false" ht="15" hidden="false" customHeight="false" outlineLevel="0" collapsed="false">
      <c r="A455" s="25"/>
      <c r="B455" s="25"/>
      <c r="C455" s="29" t="str">
        <f aca="false">IF($B455="","",IFERROR(INDEX(Projects!$B$5:$B$204,MATCH($B455,Projects!$A$5:$A$204,0)),"Unknown project ID"))</f>
        <v/>
      </c>
      <c r="D455" s="25"/>
      <c r="E455" s="25"/>
      <c r="F455" s="25"/>
      <c r="G455" s="25"/>
      <c r="H455" s="25"/>
      <c r="I455" s="26"/>
      <c r="J455" s="26"/>
      <c r="K455" s="26"/>
      <c r="L455" s="30" t="str">
        <f aca="true">IF(OR($J455="",$H455="Done",$H455="Cancelled"),"",$J455-TODAY())</f>
        <v/>
      </c>
      <c r="M455" s="29" t="str">
        <f aca="true">IF(AND($J455&lt;&gt;"",$H455&lt;&gt;"Done",$H455&lt;&gt;"Cancelled",$J455&lt;TODAY()),"OVERDUE","")</f>
        <v/>
      </c>
      <c r="N455" s="25"/>
      <c r="O455" s="26"/>
      <c r="P455" s="25"/>
    </row>
    <row r="456" customFormat="false" ht="15" hidden="false" customHeight="false" outlineLevel="0" collapsed="false">
      <c r="A456" s="25"/>
      <c r="B456" s="25"/>
      <c r="C456" s="29" t="str">
        <f aca="false">IF($B456="","",IFERROR(INDEX(Projects!$B$5:$B$204,MATCH($B456,Projects!$A$5:$A$204,0)),"Unknown project ID"))</f>
        <v/>
      </c>
      <c r="D456" s="25"/>
      <c r="E456" s="25"/>
      <c r="F456" s="25"/>
      <c r="G456" s="25"/>
      <c r="H456" s="25"/>
      <c r="I456" s="26"/>
      <c r="J456" s="26"/>
      <c r="K456" s="26"/>
      <c r="L456" s="30" t="str">
        <f aca="true">IF(OR($J456="",$H456="Done",$H456="Cancelled"),"",$J456-TODAY())</f>
        <v/>
      </c>
      <c r="M456" s="29" t="str">
        <f aca="true">IF(AND($J456&lt;&gt;"",$H456&lt;&gt;"Done",$H456&lt;&gt;"Cancelled",$J456&lt;TODAY()),"OVERDUE","")</f>
        <v/>
      </c>
      <c r="N456" s="25"/>
      <c r="O456" s="26"/>
      <c r="P456" s="25"/>
    </row>
    <row r="457" customFormat="false" ht="15" hidden="false" customHeight="false" outlineLevel="0" collapsed="false">
      <c r="A457" s="25"/>
      <c r="B457" s="25"/>
      <c r="C457" s="29" t="str">
        <f aca="false">IF($B457="","",IFERROR(INDEX(Projects!$B$5:$B$204,MATCH($B457,Projects!$A$5:$A$204,0)),"Unknown project ID"))</f>
        <v/>
      </c>
      <c r="D457" s="25"/>
      <c r="E457" s="25"/>
      <c r="F457" s="25"/>
      <c r="G457" s="25"/>
      <c r="H457" s="25"/>
      <c r="I457" s="26"/>
      <c r="J457" s="26"/>
      <c r="K457" s="26"/>
      <c r="L457" s="30" t="str">
        <f aca="true">IF(OR($J457="",$H457="Done",$H457="Cancelled"),"",$J457-TODAY())</f>
        <v/>
      </c>
      <c r="M457" s="29" t="str">
        <f aca="true">IF(AND($J457&lt;&gt;"",$H457&lt;&gt;"Done",$H457&lt;&gt;"Cancelled",$J457&lt;TODAY()),"OVERDUE","")</f>
        <v/>
      </c>
      <c r="N457" s="25"/>
      <c r="O457" s="26"/>
      <c r="P457" s="25"/>
    </row>
    <row r="458" customFormat="false" ht="15" hidden="false" customHeight="false" outlineLevel="0" collapsed="false">
      <c r="A458" s="25"/>
      <c r="B458" s="25"/>
      <c r="C458" s="29" t="str">
        <f aca="false">IF($B458="","",IFERROR(INDEX(Projects!$B$5:$B$204,MATCH($B458,Projects!$A$5:$A$204,0)),"Unknown project ID"))</f>
        <v/>
      </c>
      <c r="D458" s="25"/>
      <c r="E458" s="25"/>
      <c r="F458" s="25"/>
      <c r="G458" s="25"/>
      <c r="H458" s="25"/>
      <c r="I458" s="26"/>
      <c r="J458" s="26"/>
      <c r="K458" s="26"/>
      <c r="L458" s="30" t="str">
        <f aca="true">IF(OR($J458="",$H458="Done",$H458="Cancelled"),"",$J458-TODAY())</f>
        <v/>
      </c>
      <c r="M458" s="29" t="str">
        <f aca="true">IF(AND($J458&lt;&gt;"",$H458&lt;&gt;"Done",$H458&lt;&gt;"Cancelled",$J458&lt;TODAY()),"OVERDUE","")</f>
        <v/>
      </c>
      <c r="N458" s="25"/>
      <c r="O458" s="26"/>
      <c r="P458" s="25"/>
    </row>
    <row r="459" customFormat="false" ht="15" hidden="false" customHeight="false" outlineLevel="0" collapsed="false">
      <c r="A459" s="25"/>
      <c r="B459" s="25"/>
      <c r="C459" s="29" t="str">
        <f aca="false">IF($B459="","",IFERROR(INDEX(Projects!$B$5:$B$204,MATCH($B459,Projects!$A$5:$A$204,0)),"Unknown project ID"))</f>
        <v/>
      </c>
      <c r="D459" s="25"/>
      <c r="E459" s="25"/>
      <c r="F459" s="25"/>
      <c r="G459" s="25"/>
      <c r="H459" s="25"/>
      <c r="I459" s="26"/>
      <c r="J459" s="26"/>
      <c r="K459" s="26"/>
      <c r="L459" s="30" t="str">
        <f aca="true">IF(OR($J459="",$H459="Done",$H459="Cancelled"),"",$J459-TODAY())</f>
        <v/>
      </c>
      <c r="M459" s="29" t="str">
        <f aca="true">IF(AND($J459&lt;&gt;"",$H459&lt;&gt;"Done",$H459&lt;&gt;"Cancelled",$J459&lt;TODAY()),"OVERDUE","")</f>
        <v/>
      </c>
      <c r="N459" s="25"/>
      <c r="O459" s="26"/>
      <c r="P459" s="25"/>
    </row>
    <row r="460" customFormat="false" ht="15" hidden="false" customHeight="false" outlineLevel="0" collapsed="false">
      <c r="A460" s="25"/>
      <c r="B460" s="25"/>
      <c r="C460" s="29" t="str">
        <f aca="false">IF($B460="","",IFERROR(INDEX(Projects!$B$5:$B$204,MATCH($B460,Projects!$A$5:$A$204,0)),"Unknown project ID"))</f>
        <v/>
      </c>
      <c r="D460" s="25"/>
      <c r="E460" s="25"/>
      <c r="F460" s="25"/>
      <c r="G460" s="25"/>
      <c r="H460" s="25"/>
      <c r="I460" s="26"/>
      <c r="J460" s="26"/>
      <c r="K460" s="26"/>
      <c r="L460" s="30" t="str">
        <f aca="true">IF(OR($J460="",$H460="Done",$H460="Cancelled"),"",$J460-TODAY())</f>
        <v/>
      </c>
      <c r="M460" s="29" t="str">
        <f aca="true">IF(AND($J460&lt;&gt;"",$H460&lt;&gt;"Done",$H460&lt;&gt;"Cancelled",$J460&lt;TODAY()),"OVERDUE","")</f>
        <v/>
      </c>
      <c r="N460" s="25"/>
      <c r="O460" s="26"/>
      <c r="P460" s="25"/>
    </row>
    <row r="461" customFormat="false" ht="15" hidden="false" customHeight="false" outlineLevel="0" collapsed="false">
      <c r="A461" s="25"/>
      <c r="B461" s="25"/>
      <c r="C461" s="29" t="str">
        <f aca="false">IF($B461="","",IFERROR(INDEX(Projects!$B$5:$B$204,MATCH($B461,Projects!$A$5:$A$204,0)),"Unknown project ID"))</f>
        <v/>
      </c>
      <c r="D461" s="25"/>
      <c r="E461" s="25"/>
      <c r="F461" s="25"/>
      <c r="G461" s="25"/>
      <c r="H461" s="25"/>
      <c r="I461" s="26"/>
      <c r="J461" s="26"/>
      <c r="K461" s="26"/>
      <c r="L461" s="30" t="str">
        <f aca="true">IF(OR($J461="",$H461="Done",$H461="Cancelled"),"",$J461-TODAY())</f>
        <v/>
      </c>
      <c r="M461" s="29" t="str">
        <f aca="true">IF(AND($J461&lt;&gt;"",$H461&lt;&gt;"Done",$H461&lt;&gt;"Cancelled",$J461&lt;TODAY()),"OVERDUE","")</f>
        <v/>
      </c>
      <c r="N461" s="25"/>
      <c r="O461" s="26"/>
      <c r="P461" s="25"/>
    </row>
    <row r="462" customFormat="false" ht="15" hidden="false" customHeight="false" outlineLevel="0" collapsed="false">
      <c r="A462" s="25"/>
      <c r="B462" s="25"/>
      <c r="C462" s="29" t="str">
        <f aca="false">IF($B462="","",IFERROR(INDEX(Projects!$B$5:$B$204,MATCH($B462,Projects!$A$5:$A$204,0)),"Unknown project ID"))</f>
        <v/>
      </c>
      <c r="D462" s="25"/>
      <c r="E462" s="25"/>
      <c r="F462" s="25"/>
      <c r="G462" s="25"/>
      <c r="H462" s="25"/>
      <c r="I462" s="26"/>
      <c r="J462" s="26"/>
      <c r="K462" s="26"/>
      <c r="L462" s="30" t="str">
        <f aca="true">IF(OR($J462="",$H462="Done",$H462="Cancelled"),"",$J462-TODAY())</f>
        <v/>
      </c>
      <c r="M462" s="29" t="str">
        <f aca="true">IF(AND($J462&lt;&gt;"",$H462&lt;&gt;"Done",$H462&lt;&gt;"Cancelled",$J462&lt;TODAY()),"OVERDUE","")</f>
        <v/>
      </c>
      <c r="N462" s="25"/>
      <c r="O462" s="26"/>
      <c r="P462" s="25"/>
    </row>
    <row r="463" customFormat="false" ht="15" hidden="false" customHeight="false" outlineLevel="0" collapsed="false">
      <c r="A463" s="25"/>
      <c r="B463" s="25"/>
      <c r="C463" s="29" t="str">
        <f aca="false">IF($B463="","",IFERROR(INDEX(Projects!$B$5:$B$204,MATCH($B463,Projects!$A$5:$A$204,0)),"Unknown project ID"))</f>
        <v/>
      </c>
      <c r="D463" s="25"/>
      <c r="E463" s="25"/>
      <c r="F463" s="25"/>
      <c r="G463" s="25"/>
      <c r="H463" s="25"/>
      <c r="I463" s="26"/>
      <c r="J463" s="26"/>
      <c r="K463" s="26"/>
      <c r="L463" s="30" t="str">
        <f aca="true">IF(OR($J463="",$H463="Done",$H463="Cancelled"),"",$J463-TODAY())</f>
        <v/>
      </c>
      <c r="M463" s="29" t="str">
        <f aca="true">IF(AND($J463&lt;&gt;"",$H463&lt;&gt;"Done",$H463&lt;&gt;"Cancelled",$J463&lt;TODAY()),"OVERDUE","")</f>
        <v/>
      </c>
      <c r="N463" s="25"/>
      <c r="O463" s="26"/>
      <c r="P463" s="25"/>
    </row>
    <row r="464" customFormat="false" ht="15" hidden="false" customHeight="false" outlineLevel="0" collapsed="false">
      <c r="A464" s="25"/>
      <c r="B464" s="25"/>
      <c r="C464" s="29" t="str">
        <f aca="false">IF($B464="","",IFERROR(INDEX(Projects!$B$5:$B$204,MATCH($B464,Projects!$A$5:$A$204,0)),"Unknown project ID"))</f>
        <v/>
      </c>
      <c r="D464" s="25"/>
      <c r="E464" s="25"/>
      <c r="F464" s="25"/>
      <c r="G464" s="25"/>
      <c r="H464" s="25"/>
      <c r="I464" s="26"/>
      <c r="J464" s="26"/>
      <c r="K464" s="26"/>
      <c r="L464" s="30" t="str">
        <f aca="true">IF(OR($J464="",$H464="Done",$H464="Cancelled"),"",$J464-TODAY())</f>
        <v/>
      </c>
      <c r="M464" s="29" t="str">
        <f aca="true">IF(AND($J464&lt;&gt;"",$H464&lt;&gt;"Done",$H464&lt;&gt;"Cancelled",$J464&lt;TODAY()),"OVERDUE","")</f>
        <v/>
      </c>
      <c r="N464" s="25"/>
      <c r="O464" s="26"/>
      <c r="P464" s="25"/>
    </row>
    <row r="465" customFormat="false" ht="15" hidden="false" customHeight="false" outlineLevel="0" collapsed="false">
      <c r="A465" s="25"/>
      <c r="B465" s="25"/>
      <c r="C465" s="29" t="str">
        <f aca="false">IF($B465="","",IFERROR(INDEX(Projects!$B$5:$B$204,MATCH($B465,Projects!$A$5:$A$204,0)),"Unknown project ID"))</f>
        <v/>
      </c>
      <c r="D465" s="25"/>
      <c r="E465" s="25"/>
      <c r="F465" s="25"/>
      <c r="G465" s="25"/>
      <c r="H465" s="25"/>
      <c r="I465" s="26"/>
      <c r="J465" s="26"/>
      <c r="K465" s="26"/>
      <c r="L465" s="30" t="str">
        <f aca="true">IF(OR($J465="",$H465="Done",$H465="Cancelled"),"",$J465-TODAY())</f>
        <v/>
      </c>
      <c r="M465" s="29" t="str">
        <f aca="true">IF(AND($J465&lt;&gt;"",$H465&lt;&gt;"Done",$H465&lt;&gt;"Cancelled",$J465&lt;TODAY()),"OVERDUE","")</f>
        <v/>
      </c>
      <c r="N465" s="25"/>
      <c r="O465" s="26"/>
      <c r="P465" s="25"/>
    </row>
    <row r="466" customFormat="false" ht="15" hidden="false" customHeight="false" outlineLevel="0" collapsed="false">
      <c r="A466" s="25"/>
      <c r="B466" s="25"/>
      <c r="C466" s="29" t="str">
        <f aca="false">IF($B466="","",IFERROR(INDEX(Projects!$B$5:$B$204,MATCH($B466,Projects!$A$5:$A$204,0)),"Unknown project ID"))</f>
        <v/>
      </c>
      <c r="D466" s="25"/>
      <c r="E466" s="25"/>
      <c r="F466" s="25"/>
      <c r="G466" s="25"/>
      <c r="H466" s="25"/>
      <c r="I466" s="26"/>
      <c r="J466" s="26"/>
      <c r="K466" s="26"/>
      <c r="L466" s="30" t="str">
        <f aca="true">IF(OR($J466="",$H466="Done",$H466="Cancelled"),"",$J466-TODAY())</f>
        <v/>
      </c>
      <c r="M466" s="29" t="str">
        <f aca="true">IF(AND($J466&lt;&gt;"",$H466&lt;&gt;"Done",$H466&lt;&gt;"Cancelled",$J466&lt;TODAY()),"OVERDUE","")</f>
        <v/>
      </c>
      <c r="N466" s="25"/>
      <c r="O466" s="26"/>
      <c r="P466" s="25"/>
    </row>
    <row r="467" customFormat="false" ht="15" hidden="false" customHeight="false" outlineLevel="0" collapsed="false">
      <c r="A467" s="25"/>
      <c r="B467" s="25"/>
      <c r="C467" s="29" t="str">
        <f aca="false">IF($B467="","",IFERROR(INDEX(Projects!$B$5:$B$204,MATCH($B467,Projects!$A$5:$A$204,0)),"Unknown project ID"))</f>
        <v/>
      </c>
      <c r="D467" s="25"/>
      <c r="E467" s="25"/>
      <c r="F467" s="25"/>
      <c r="G467" s="25"/>
      <c r="H467" s="25"/>
      <c r="I467" s="26"/>
      <c r="J467" s="26"/>
      <c r="K467" s="26"/>
      <c r="L467" s="30" t="str">
        <f aca="true">IF(OR($J467="",$H467="Done",$H467="Cancelled"),"",$J467-TODAY())</f>
        <v/>
      </c>
      <c r="M467" s="29" t="str">
        <f aca="true">IF(AND($J467&lt;&gt;"",$H467&lt;&gt;"Done",$H467&lt;&gt;"Cancelled",$J467&lt;TODAY()),"OVERDUE","")</f>
        <v/>
      </c>
      <c r="N467" s="25"/>
      <c r="O467" s="26"/>
      <c r="P467" s="25"/>
    </row>
    <row r="468" customFormat="false" ht="15" hidden="false" customHeight="false" outlineLevel="0" collapsed="false">
      <c r="A468" s="25"/>
      <c r="B468" s="25"/>
      <c r="C468" s="29" t="str">
        <f aca="false">IF($B468="","",IFERROR(INDEX(Projects!$B$5:$B$204,MATCH($B468,Projects!$A$5:$A$204,0)),"Unknown project ID"))</f>
        <v/>
      </c>
      <c r="D468" s="25"/>
      <c r="E468" s="25"/>
      <c r="F468" s="25"/>
      <c r="G468" s="25"/>
      <c r="H468" s="25"/>
      <c r="I468" s="26"/>
      <c r="J468" s="26"/>
      <c r="K468" s="26"/>
      <c r="L468" s="30" t="str">
        <f aca="true">IF(OR($J468="",$H468="Done",$H468="Cancelled"),"",$J468-TODAY())</f>
        <v/>
      </c>
      <c r="M468" s="29" t="str">
        <f aca="true">IF(AND($J468&lt;&gt;"",$H468&lt;&gt;"Done",$H468&lt;&gt;"Cancelled",$J468&lt;TODAY()),"OVERDUE","")</f>
        <v/>
      </c>
      <c r="N468" s="25"/>
      <c r="O468" s="26"/>
      <c r="P468" s="25"/>
    </row>
    <row r="469" customFormat="false" ht="15" hidden="false" customHeight="false" outlineLevel="0" collapsed="false">
      <c r="A469" s="25"/>
      <c r="B469" s="25"/>
      <c r="C469" s="29" t="str">
        <f aca="false">IF($B469="","",IFERROR(INDEX(Projects!$B$5:$B$204,MATCH($B469,Projects!$A$5:$A$204,0)),"Unknown project ID"))</f>
        <v/>
      </c>
      <c r="D469" s="25"/>
      <c r="E469" s="25"/>
      <c r="F469" s="25"/>
      <c r="G469" s="25"/>
      <c r="H469" s="25"/>
      <c r="I469" s="26"/>
      <c r="J469" s="26"/>
      <c r="K469" s="26"/>
      <c r="L469" s="30" t="str">
        <f aca="true">IF(OR($J469="",$H469="Done",$H469="Cancelled"),"",$J469-TODAY())</f>
        <v/>
      </c>
      <c r="M469" s="29" t="str">
        <f aca="true">IF(AND($J469&lt;&gt;"",$H469&lt;&gt;"Done",$H469&lt;&gt;"Cancelled",$J469&lt;TODAY()),"OVERDUE","")</f>
        <v/>
      </c>
      <c r="N469" s="25"/>
      <c r="O469" s="26"/>
      <c r="P469" s="25"/>
    </row>
    <row r="470" customFormat="false" ht="15" hidden="false" customHeight="false" outlineLevel="0" collapsed="false">
      <c r="A470" s="25"/>
      <c r="B470" s="25"/>
      <c r="C470" s="29" t="str">
        <f aca="false">IF($B470="","",IFERROR(INDEX(Projects!$B$5:$B$204,MATCH($B470,Projects!$A$5:$A$204,0)),"Unknown project ID"))</f>
        <v/>
      </c>
      <c r="D470" s="25"/>
      <c r="E470" s="25"/>
      <c r="F470" s="25"/>
      <c r="G470" s="25"/>
      <c r="H470" s="25"/>
      <c r="I470" s="26"/>
      <c r="J470" s="26"/>
      <c r="K470" s="26"/>
      <c r="L470" s="30" t="str">
        <f aca="true">IF(OR($J470="",$H470="Done",$H470="Cancelled"),"",$J470-TODAY())</f>
        <v/>
      </c>
      <c r="M470" s="29" t="str">
        <f aca="true">IF(AND($J470&lt;&gt;"",$H470&lt;&gt;"Done",$H470&lt;&gt;"Cancelled",$J470&lt;TODAY()),"OVERDUE","")</f>
        <v/>
      </c>
      <c r="N470" s="25"/>
      <c r="O470" s="26"/>
      <c r="P470" s="25"/>
    </row>
    <row r="471" customFormat="false" ht="15" hidden="false" customHeight="false" outlineLevel="0" collapsed="false">
      <c r="A471" s="25"/>
      <c r="B471" s="25"/>
      <c r="C471" s="29" t="str">
        <f aca="false">IF($B471="","",IFERROR(INDEX(Projects!$B$5:$B$204,MATCH($B471,Projects!$A$5:$A$204,0)),"Unknown project ID"))</f>
        <v/>
      </c>
      <c r="D471" s="25"/>
      <c r="E471" s="25"/>
      <c r="F471" s="25"/>
      <c r="G471" s="25"/>
      <c r="H471" s="25"/>
      <c r="I471" s="26"/>
      <c r="J471" s="26"/>
      <c r="K471" s="26"/>
      <c r="L471" s="30" t="str">
        <f aca="true">IF(OR($J471="",$H471="Done",$H471="Cancelled"),"",$J471-TODAY())</f>
        <v/>
      </c>
      <c r="M471" s="29" t="str">
        <f aca="true">IF(AND($J471&lt;&gt;"",$H471&lt;&gt;"Done",$H471&lt;&gt;"Cancelled",$J471&lt;TODAY()),"OVERDUE","")</f>
        <v/>
      </c>
      <c r="N471" s="25"/>
      <c r="O471" s="26"/>
      <c r="P471" s="25"/>
    </row>
    <row r="472" customFormat="false" ht="15" hidden="false" customHeight="false" outlineLevel="0" collapsed="false">
      <c r="A472" s="25"/>
      <c r="B472" s="25"/>
      <c r="C472" s="29" t="str">
        <f aca="false">IF($B472="","",IFERROR(INDEX(Projects!$B$5:$B$204,MATCH($B472,Projects!$A$5:$A$204,0)),"Unknown project ID"))</f>
        <v/>
      </c>
      <c r="D472" s="25"/>
      <c r="E472" s="25"/>
      <c r="F472" s="25"/>
      <c r="G472" s="25"/>
      <c r="H472" s="25"/>
      <c r="I472" s="26"/>
      <c r="J472" s="26"/>
      <c r="K472" s="26"/>
      <c r="L472" s="30" t="str">
        <f aca="true">IF(OR($J472="",$H472="Done",$H472="Cancelled"),"",$J472-TODAY())</f>
        <v/>
      </c>
      <c r="M472" s="29" t="str">
        <f aca="true">IF(AND($J472&lt;&gt;"",$H472&lt;&gt;"Done",$H472&lt;&gt;"Cancelled",$J472&lt;TODAY()),"OVERDUE","")</f>
        <v/>
      </c>
      <c r="N472" s="25"/>
      <c r="O472" s="26"/>
      <c r="P472" s="25"/>
    </row>
    <row r="473" customFormat="false" ht="15" hidden="false" customHeight="false" outlineLevel="0" collapsed="false">
      <c r="A473" s="25"/>
      <c r="B473" s="25"/>
      <c r="C473" s="29" t="str">
        <f aca="false">IF($B473="","",IFERROR(INDEX(Projects!$B$5:$B$204,MATCH($B473,Projects!$A$5:$A$204,0)),"Unknown project ID"))</f>
        <v/>
      </c>
      <c r="D473" s="25"/>
      <c r="E473" s="25"/>
      <c r="F473" s="25"/>
      <c r="G473" s="25"/>
      <c r="H473" s="25"/>
      <c r="I473" s="26"/>
      <c r="J473" s="26"/>
      <c r="K473" s="26"/>
      <c r="L473" s="30" t="str">
        <f aca="true">IF(OR($J473="",$H473="Done",$H473="Cancelled"),"",$J473-TODAY())</f>
        <v/>
      </c>
      <c r="M473" s="29" t="str">
        <f aca="true">IF(AND($J473&lt;&gt;"",$H473&lt;&gt;"Done",$H473&lt;&gt;"Cancelled",$J473&lt;TODAY()),"OVERDUE","")</f>
        <v/>
      </c>
      <c r="N473" s="25"/>
      <c r="O473" s="26"/>
      <c r="P473" s="25"/>
    </row>
    <row r="474" customFormat="false" ht="15" hidden="false" customHeight="false" outlineLevel="0" collapsed="false">
      <c r="A474" s="25"/>
      <c r="B474" s="25"/>
      <c r="C474" s="29" t="str">
        <f aca="false">IF($B474="","",IFERROR(INDEX(Projects!$B$5:$B$204,MATCH($B474,Projects!$A$5:$A$204,0)),"Unknown project ID"))</f>
        <v/>
      </c>
      <c r="D474" s="25"/>
      <c r="E474" s="25"/>
      <c r="F474" s="25"/>
      <c r="G474" s="25"/>
      <c r="H474" s="25"/>
      <c r="I474" s="26"/>
      <c r="J474" s="26"/>
      <c r="K474" s="26"/>
      <c r="L474" s="30" t="str">
        <f aca="true">IF(OR($J474="",$H474="Done",$H474="Cancelled"),"",$J474-TODAY())</f>
        <v/>
      </c>
      <c r="M474" s="29" t="str">
        <f aca="true">IF(AND($J474&lt;&gt;"",$H474&lt;&gt;"Done",$H474&lt;&gt;"Cancelled",$J474&lt;TODAY()),"OVERDUE","")</f>
        <v/>
      </c>
      <c r="N474" s="25"/>
      <c r="O474" s="26"/>
      <c r="P474" s="25"/>
    </row>
    <row r="475" customFormat="false" ht="15" hidden="false" customHeight="false" outlineLevel="0" collapsed="false">
      <c r="A475" s="25"/>
      <c r="B475" s="25"/>
      <c r="C475" s="29" t="str">
        <f aca="false">IF($B475="","",IFERROR(INDEX(Projects!$B$5:$B$204,MATCH($B475,Projects!$A$5:$A$204,0)),"Unknown project ID"))</f>
        <v/>
      </c>
      <c r="D475" s="25"/>
      <c r="E475" s="25"/>
      <c r="F475" s="25"/>
      <c r="G475" s="25"/>
      <c r="H475" s="25"/>
      <c r="I475" s="26"/>
      <c r="J475" s="26"/>
      <c r="K475" s="26"/>
      <c r="L475" s="30" t="str">
        <f aca="true">IF(OR($J475="",$H475="Done",$H475="Cancelled"),"",$J475-TODAY())</f>
        <v/>
      </c>
      <c r="M475" s="29" t="str">
        <f aca="true">IF(AND($J475&lt;&gt;"",$H475&lt;&gt;"Done",$H475&lt;&gt;"Cancelled",$J475&lt;TODAY()),"OVERDUE","")</f>
        <v/>
      </c>
      <c r="N475" s="25"/>
      <c r="O475" s="26"/>
      <c r="P475" s="25"/>
    </row>
    <row r="476" customFormat="false" ht="15" hidden="false" customHeight="false" outlineLevel="0" collapsed="false">
      <c r="A476" s="25"/>
      <c r="B476" s="25"/>
      <c r="C476" s="29" t="str">
        <f aca="false">IF($B476="","",IFERROR(INDEX(Projects!$B$5:$B$204,MATCH($B476,Projects!$A$5:$A$204,0)),"Unknown project ID"))</f>
        <v/>
      </c>
      <c r="D476" s="25"/>
      <c r="E476" s="25"/>
      <c r="F476" s="25"/>
      <c r="G476" s="25"/>
      <c r="H476" s="25"/>
      <c r="I476" s="26"/>
      <c r="J476" s="26"/>
      <c r="K476" s="26"/>
      <c r="L476" s="30" t="str">
        <f aca="true">IF(OR($J476="",$H476="Done",$H476="Cancelled"),"",$J476-TODAY())</f>
        <v/>
      </c>
      <c r="M476" s="29" t="str">
        <f aca="true">IF(AND($J476&lt;&gt;"",$H476&lt;&gt;"Done",$H476&lt;&gt;"Cancelled",$J476&lt;TODAY()),"OVERDUE","")</f>
        <v/>
      </c>
      <c r="N476" s="25"/>
      <c r="O476" s="26"/>
      <c r="P476" s="25"/>
    </row>
    <row r="477" customFormat="false" ht="15" hidden="false" customHeight="false" outlineLevel="0" collapsed="false">
      <c r="A477" s="25"/>
      <c r="B477" s="25"/>
      <c r="C477" s="29" t="str">
        <f aca="false">IF($B477="","",IFERROR(INDEX(Projects!$B$5:$B$204,MATCH($B477,Projects!$A$5:$A$204,0)),"Unknown project ID"))</f>
        <v/>
      </c>
      <c r="D477" s="25"/>
      <c r="E477" s="25"/>
      <c r="F477" s="25"/>
      <c r="G477" s="25"/>
      <c r="H477" s="25"/>
      <c r="I477" s="26"/>
      <c r="J477" s="26"/>
      <c r="K477" s="26"/>
      <c r="L477" s="30" t="str">
        <f aca="true">IF(OR($J477="",$H477="Done",$H477="Cancelled"),"",$J477-TODAY())</f>
        <v/>
      </c>
      <c r="M477" s="29" t="str">
        <f aca="true">IF(AND($J477&lt;&gt;"",$H477&lt;&gt;"Done",$H477&lt;&gt;"Cancelled",$J477&lt;TODAY()),"OVERDUE","")</f>
        <v/>
      </c>
      <c r="N477" s="25"/>
      <c r="O477" s="26"/>
      <c r="P477" s="25"/>
    </row>
    <row r="478" customFormat="false" ht="15" hidden="false" customHeight="false" outlineLevel="0" collapsed="false">
      <c r="A478" s="25"/>
      <c r="B478" s="25"/>
      <c r="C478" s="29" t="str">
        <f aca="false">IF($B478="","",IFERROR(INDEX(Projects!$B$5:$B$204,MATCH($B478,Projects!$A$5:$A$204,0)),"Unknown project ID"))</f>
        <v/>
      </c>
      <c r="D478" s="25"/>
      <c r="E478" s="25"/>
      <c r="F478" s="25"/>
      <c r="G478" s="25"/>
      <c r="H478" s="25"/>
      <c r="I478" s="26"/>
      <c r="J478" s="26"/>
      <c r="K478" s="26"/>
      <c r="L478" s="30" t="str">
        <f aca="true">IF(OR($J478="",$H478="Done",$H478="Cancelled"),"",$J478-TODAY())</f>
        <v/>
      </c>
      <c r="M478" s="29" t="str">
        <f aca="true">IF(AND($J478&lt;&gt;"",$H478&lt;&gt;"Done",$H478&lt;&gt;"Cancelled",$J478&lt;TODAY()),"OVERDUE","")</f>
        <v/>
      </c>
      <c r="N478" s="25"/>
      <c r="O478" s="26"/>
      <c r="P478" s="25"/>
    </row>
    <row r="479" customFormat="false" ht="15" hidden="false" customHeight="false" outlineLevel="0" collapsed="false">
      <c r="A479" s="25"/>
      <c r="B479" s="25"/>
      <c r="C479" s="29" t="str">
        <f aca="false">IF($B479="","",IFERROR(INDEX(Projects!$B$5:$B$204,MATCH($B479,Projects!$A$5:$A$204,0)),"Unknown project ID"))</f>
        <v/>
      </c>
      <c r="D479" s="25"/>
      <c r="E479" s="25"/>
      <c r="F479" s="25"/>
      <c r="G479" s="25"/>
      <c r="H479" s="25"/>
      <c r="I479" s="26"/>
      <c r="J479" s="26"/>
      <c r="K479" s="26"/>
      <c r="L479" s="30" t="str">
        <f aca="true">IF(OR($J479="",$H479="Done",$H479="Cancelled"),"",$J479-TODAY())</f>
        <v/>
      </c>
      <c r="M479" s="29" t="str">
        <f aca="true">IF(AND($J479&lt;&gt;"",$H479&lt;&gt;"Done",$H479&lt;&gt;"Cancelled",$J479&lt;TODAY()),"OVERDUE","")</f>
        <v/>
      </c>
      <c r="N479" s="25"/>
      <c r="O479" s="26"/>
      <c r="P479" s="25"/>
    </row>
    <row r="480" customFormat="false" ht="15" hidden="false" customHeight="false" outlineLevel="0" collapsed="false">
      <c r="A480" s="25"/>
      <c r="B480" s="25"/>
      <c r="C480" s="29" t="str">
        <f aca="false">IF($B480="","",IFERROR(INDEX(Projects!$B$5:$B$204,MATCH($B480,Projects!$A$5:$A$204,0)),"Unknown project ID"))</f>
        <v/>
      </c>
      <c r="D480" s="25"/>
      <c r="E480" s="25"/>
      <c r="F480" s="25"/>
      <c r="G480" s="25"/>
      <c r="H480" s="25"/>
      <c r="I480" s="26"/>
      <c r="J480" s="26"/>
      <c r="K480" s="26"/>
      <c r="L480" s="30" t="str">
        <f aca="true">IF(OR($J480="",$H480="Done",$H480="Cancelled"),"",$J480-TODAY())</f>
        <v/>
      </c>
      <c r="M480" s="29" t="str">
        <f aca="true">IF(AND($J480&lt;&gt;"",$H480&lt;&gt;"Done",$H480&lt;&gt;"Cancelled",$J480&lt;TODAY()),"OVERDUE","")</f>
        <v/>
      </c>
      <c r="N480" s="25"/>
      <c r="O480" s="26"/>
      <c r="P480" s="25"/>
    </row>
    <row r="481" customFormat="false" ht="15" hidden="false" customHeight="false" outlineLevel="0" collapsed="false">
      <c r="A481" s="25"/>
      <c r="B481" s="25"/>
      <c r="C481" s="29" t="str">
        <f aca="false">IF($B481="","",IFERROR(INDEX(Projects!$B$5:$B$204,MATCH($B481,Projects!$A$5:$A$204,0)),"Unknown project ID"))</f>
        <v/>
      </c>
      <c r="D481" s="25"/>
      <c r="E481" s="25"/>
      <c r="F481" s="25"/>
      <c r="G481" s="25"/>
      <c r="H481" s="25"/>
      <c r="I481" s="26"/>
      <c r="J481" s="26"/>
      <c r="K481" s="26"/>
      <c r="L481" s="30" t="str">
        <f aca="true">IF(OR($J481="",$H481="Done",$H481="Cancelled"),"",$J481-TODAY())</f>
        <v/>
      </c>
      <c r="M481" s="29" t="str">
        <f aca="true">IF(AND($J481&lt;&gt;"",$H481&lt;&gt;"Done",$H481&lt;&gt;"Cancelled",$J481&lt;TODAY()),"OVERDUE","")</f>
        <v/>
      </c>
      <c r="N481" s="25"/>
      <c r="O481" s="26"/>
      <c r="P481" s="25"/>
    </row>
    <row r="482" customFormat="false" ht="15" hidden="false" customHeight="false" outlineLevel="0" collapsed="false">
      <c r="A482" s="25"/>
      <c r="B482" s="25"/>
      <c r="C482" s="29" t="str">
        <f aca="false">IF($B482="","",IFERROR(INDEX(Projects!$B$5:$B$204,MATCH($B482,Projects!$A$5:$A$204,0)),"Unknown project ID"))</f>
        <v/>
      </c>
      <c r="D482" s="25"/>
      <c r="E482" s="25"/>
      <c r="F482" s="25"/>
      <c r="G482" s="25"/>
      <c r="H482" s="25"/>
      <c r="I482" s="26"/>
      <c r="J482" s="26"/>
      <c r="K482" s="26"/>
      <c r="L482" s="30" t="str">
        <f aca="true">IF(OR($J482="",$H482="Done",$H482="Cancelled"),"",$J482-TODAY())</f>
        <v/>
      </c>
      <c r="M482" s="29" t="str">
        <f aca="true">IF(AND($J482&lt;&gt;"",$H482&lt;&gt;"Done",$H482&lt;&gt;"Cancelled",$J482&lt;TODAY()),"OVERDUE","")</f>
        <v/>
      </c>
      <c r="N482" s="25"/>
      <c r="O482" s="26"/>
      <c r="P482" s="25"/>
    </row>
    <row r="483" customFormat="false" ht="15" hidden="false" customHeight="false" outlineLevel="0" collapsed="false">
      <c r="A483" s="25"/>
      <c r="B483" s="25"/>
      <c r="C483" s="29" t="str">
        <f aca="false">IF($B483="","",IFERROR(INDEX(Projects!$B$5:$B$204,MATCH($B483,Projects!$A$5:$A$204,0)),"Unknown project ID"))</f>
        <v/>
      </c>
      <c r="D483" s="25"/>
      <c r="E483" s="25"/>
      <c r="F483" s="25"/>
      <c r="G483" s="25"/>
      <c r="H483" s="25"/>
      <c r="I483" s="26"/>
      <c r="J483" s="26"/>
      <c r="K483" s="26"/>
      <c r="L483" s="30" t="str">
        <f aca="true">IF(OR($J483="",$H483="Done",$H483="Cancelled"),"",$J483-TODAY())</f>
        <v/>
      </c>
      <c r="M483" s="29" t="str">
        <f aca="true">IF(AND($J483&lt;&gt;"",$H483&lt;&gt;"Done",$H483&lt;&gt;"Cancelled",$J483&lt;TODAY()),"OVERDUE","")</f>
        <v/>
      </c>
      <c r="N483" s="25"/>
      <c r="O483" s="26"/>
      <c r="P483" s="25"/>
    </row>
    <row r="484" customFormat="false" ht="15" hidden="false" customHeight="false" outlineLevel="0" collapsed="false">
      <c r="A484" s="25"/>
      <c r="B484" s="25"/>
      <c r="C484" s="29" t="str">
        <f aca="false">IF($B484="","",IFERROR(INDEX(Projects!$B$5:$B$204,MATCH($B484,Projects!$A$5:$A$204,0)),"Unknown project ID"))</f>
        <v/>
      </c>
      <c r="D484" s="25"/>
      <c r="E484" s="25"/>
      <c r="F484" s="25"/>
      <c r="G484" s="25"/>
      <c r="H484" s="25"/>
      <c r="I484" s="26"/>
      <c r="J484" s="26"/>
      <c r="K484" s="26"/>
      <c r="L484" s="30" t="str">
        <f aca="true">IF(OR($J484="",$H484="Done",$H484="Cancelled"),"",$J484-TODAY())</f>
        <v/>
      </c>
      <c r="M484" s="29" t="str">
        <f aca="true">IF(AND($J484&lt;&gt;"",$H484&lt;&gt;"Done",$H484&lt;&gt;"Cancelled",$J484&lt;TODAY()),"OVERDUE","")</f>
        <v/>
      </c>
      <c r="N484" s="25"/>
      <c r="O484" s="26"/>
      <c r="P484" s="25"/>
    </row>
    <row r="485" customFormat="false" ht="15" hidden="false" customHeight="false" outlineLevel="0" collapsed="false">
      <c r="A485" s="25"/>
      <c r="B485" s="25"/>
      <c r="C485" s="29" t="str">
        <f aca="false">IF($B485="","",IFERROR(INDEX(Projects!$B$5:$B$204,MATCH($B485,Projects!$A$5:$A$204,0)),"Unknown project ID"))</f>
        <v/>
      </c>
      <c r="D485" s="25"/>
      <c r="E485" s="25"/>
      <c r="F485" s="25"/>
      <c r="G485" s="25"/>
      <c r="H485" s="25"/>
      <c r="I485" s="26"/>
      <c r="J485" s="26"/>
      <c r="K485" s="26"/>
      <c r="L485" s="30" t="str">
        <f aca="true">IF(OR($J485="",$H485="Done",$H485="Cancelled"),"",$J485-TODAY())</f>
        <v/>
      </c>
      <c r="M485" s="29" t="str">
        <f aca="true">IF(AND($J485&lt;&gt;"",$H485&lt;&gt;"Done",$H485&lt;&gt;"Cancelled",$J485&lt;TODAY()),"OVERDUE","")</f>
        <v/>
      </c>
      <c r="N485" s="25"/>
      <c r="O485" s="26"/>
      <c r="P485" s="25"/>
    </row>
    <row r="486" customFormat="false" ht="15" hidden="false" customHeight="false" outlineLevel="0" collapsed="false">
      <c r="A486" s="25"/>
      <c r="B486" s="25"/>
      <c r="C486" s="29" t="str">
        <f aca="false">IF($B486="","",IFERROR(INDEX(Projects!$B$5:$B$204,MATCH($B486,Projects!$A$5:$A$204,0)),"Unknown project ID"))</f>
        <v/>
      </c>
      <c r="D486" s="25"/>
      <c r="E486" s="25"/>
      <c r="F486" s="25"/>
      <c r="G486" s="25"/>
      <c r="H486" s="25"/>
      <c r="I486" s="26"/>
      <c r="J486" s="26"/>
      <c r="K486" s="26"/>
      <c r="L486" s="30" t="str">
        <f aca="true">IF(OR($J486="",$H486="Done",$H486="Cancelled"),"",$J486-TODAY())</f>
        <v/>
      </c>
      <c r="M486" s="29" t="str">
        <f aca="true">IF(AND($J486&lt;&gt;"",$H486&lt;&gt;"Done",$H486&lt;&gt;"Cancelled",$J486&lt;TODAY()),"OVERDUE","")</f>
        <v/>
      </c>
      <c r="N486" s="25"/>
      <c r="O486" s="26"/>
      <c r="P486" s="25"/>
    </row>
    <row r="487" customFormat="false" ht="15" hidden="false" customHeight="false" outlineLevel="0" collapsed="false">
      <c r="A487" s="25"/>
      <c r="B487" s="25"/>
      <c r="C487" s="29" t="str">
        <f aca="false">IF($B487="","",IFERROR(INDEX(Projects!$B$5:$B$204,MATCH($B487,Projects!$A$5:$A$204,0)),"Unknown project ID"))</f>
        <v/>
      </c>
      <c r="D487" s="25"/>
      <c r="E487" s="25"/>
      <c r="F487" s="25"/>
      <c r="G487" s="25"/>
      <c r="H487" s="25"/>
      <c r="I487" s="26"/>
      <c r="J487" s="26"/>
      <c r="K487" s="26"/>
      <c r="L487" s="30" t="str">
        <f aca="true">IF(OR($J487="",$H487="Done",$H487="Cancelled"),"",$J487-TODAY())</f>
        <v/>
      </c>
      <c r="M487" s="29" t="str">
        <f aca="true">IF(AND($J487&lt;&gt;"",$H487&lt;&gt;"Done",$H487&lt;&gt;"Cancelled",$J487&lt;TODAY()),"OVERDUE","")</f>
        <v/>
      </c>
      <c r="N487" s="25"/>
      <c r="O487" s="26"/>
      <c r="P487" s="25"/>
    </row>
    <row r="488" customFormat="false" ht="15" hidden="false" customHeight="false" outlineLevel="0" collapsed="false">
      <c r="A488" s="25"/>
      <c r="B488" s="25"/>
      <c r="C488" s="29" t="str">
        <f aca="false">IF($B488="","",IFERROR(INDEX(Projects!$B$5:$B$204,MATCH($B488,Projects!$A$5:$A$204,0)),"Unknown project ID"))</f>
        <v/>
      </c>
      <c r="D488" s="25"/>
      <c r="E488" s="25"/>
      <c r="F488" s="25"/>
      <c r="G488" s="25"/>
      <c r="H488" s="25"/>
      <c r="I488" s="26"/>
      <c r="J488" s="26"/>
      <c r="K488" s="26"/>
      <c r="L488" s="30" t="str">
        <f aca="true">IF(OR($J488="",$H488="Done",$H488="Cancelled"),"",$J488-TODAY())</f>
        <v/>
      </c>
      <c r="M488" s="29" t="str">
        <f aca="true">IF(AND($J488&lt;&gt;"",$H488&lt;&gt;"Done",$H488&lt;&gt;"Cancelled",$J488&lt;TODAY()),"OVERDUE","")</f>
        <v/>
      </c>
      <c r="N488" s="25"/>
      <c r="O488" s="26"/>
      <c r="P488" s="25"/>
    </row>
    <row r="489" customFormat="false" ht="15" hidden="false" customHeight="false" outlineLevel="0" collapsed="false">
      <c r="A489" s="25"/>
      <c r="B489" s="25"/>
      <c r="C489" s="29" t="str">
        <f aca="false">IF($B489="","",IFERROR(INDEX(Projects!$B$5:$B$204,MATCH($B489,Projects!$A$5:$A$204,0)),"Unknown project ID"))</f>
        <v/>
      </c>
      <c r="D489" s="25"/>
      <c r="E489" s="25"/>
      <c r="F489" s="25"/>
      <c r="G489" s="25"/>
      <c r="H489" s="25"/>
      <c r="I489" s="26"/>
      <c r="J489" s="26"/>
      <c r="K489" s="26"/>
      <c r="L489" s="30" t="str">
        <f aca="true">IF(OR($J489="",$H489="Done",$H489="Cancelled"),"",$J489-TODAY())</f>
        <v/>
      </c>
      <c r="M489" s="29" t="str">
        <f aca="true">IF(AND($J489&lt;&gt;"",$H489&lt;&gt;"Done",$H489&lt;&gt;"Cancelled",$J489&lt;TODAY()),"OVERDUE","")</f>
        <v/>
      </c>
      <c r="N489" s="25"/>
      <c r="O489" s="26"/>
      <c r="P489" s="25"/>
    </row>
    <row r="490" customFormat="false" ht="15" hidden="false" customHeight="false" outlineLevel="0" collapsed="false">
      <c r="A490" s="25"/>
      <c r="B490" s="25"/>
      <c r="C490" s="29" t="str">
        <f aca="false">IF($B490="","",IFERROR(INDEX(Projects!$B$5:$B$204,MATCH($B490,Projects!$A$5:$A$204,0)),"Unknown project ID"))</f>
        <v/>
      </c>
      <c r="D490" s="25"/>
      <c r="E490" s="25"/>
      <c r="F490" s="25"/>
      <c r="G490" s="25"/>
      <c r="H490" s="25"/>
      <c r="I490" s="26"/>
      <c r="J490" s="26"/>
      <c r="K490" s="26"/>
      <c r="L490" s="30" t="str">
        <f aca="true">IF(OR($J490="",$H490="Done",$H490="Cancelled"),"",$J490-TODAY())</f>
        <v/>
      </c>
      <c r="M490" s="29" t="str">
        <f aca="true">IF(AND($J490&lt;&gt;"",$H490&lt;&gt;"Done",$H490&lt;&gt;"Cancelled",$J490&lt;TODAY()),"OVERDUE","")</f>
        <v/>
      </c>
      <c r="N490" s="25"/>
      <c r="O490" s="26"/>
      <c r="P490" s="25"/>
    </row>
    <row r="491" customFormat="false" ht="15" hidden="false" customHeight="false" outlineLevel="0" collapsed="false">
      <c r="A491" s="25"/>
      <c r="B491" s="25"/>
      <c r="C491" s="29" t="str">
        <f aca="false">IF($B491="","",IFERROR(INDEX(Projects!$B$5:$B$204,MATCH($B491,Projects!$A$5:$A$204,0)),"Unknown project ID"))</f>
        <v/>
      </c>
      <c r="D491" s="25"/>
      <c r="E491" s="25"/>
      <c r="F491" s="25"/>
      <c r="G491" s="25"/>
      <c r="H491" s="25"/>
      <c r="I491" s="26"/>
      <c r="J491" s="26"/>
      <c r="K491" s="26"/>
      <c r="L491" s="30" t="str">
        <f aca="true">IF(OR($J491="",$H491="Done",$H491="Cancelled"),"",$J491-TODAY())</f>
        <v/>
      </c>
      <c r="M491" s="29" t="str">
        <f aca="true">IF(AND($J491&lt;&gt;"",$H491&lt;&gt;"Done",$H491&lt;&gt;"Cancelled",$J491&lt;TODAY()),"OVERDUE","")</f>
        <v/>
      </c>
      <c r="N491" s="25"/>
      <c r="O491" s="26"/>
      <c r="P491" s="25"/>
    </row>
    <row r="492" customFormat="false" ht="15" hidden="false" customHeight="false" outlineLevel="0" collapsed="false">
      <c r="A492" s="25"/>
      <c r="B492" s="25"/>
      <c r="C492" s="29" t="str">
        <f aca="false">IF($B492="","",IFERROR(INDEX(Projects!$B$5:$B$204,MATCH($B492,Projects!$A$5:$A$204,0)),"Unknown project ID"))</f>
        <v/>
      </c>
      <c r="D492" s="25"/>
      <c r="E492" s="25"/>
      <c r="F492" s="25"/>
      <c r="G492" s="25"/>
      <c r="H492" s="25"/>
      <c r="I492" s="26"/>
      <c r="J492" s="26"/>
      <c r="K492" s="26"/>
      <c r="L492" s="30" t="str">
        <f aca="true">IF(OR($J492="",$H492="Done",$H492="Cancelled"),"",$J492-TODAY())</f>
        <v/>
      </c>
      <c r="M492" s="29" t="str">
        <f aca="true">IF(AND($J492&lt;&gt;"",$H492&lt;&gt;"Done",$H492&lt;&gt;"Cancelled",$J492&lt;TODAY()),"OVERDUE","")</f>
        <v/>
      </c>
      <c r="N492" s="25"/>
      <c r="O492" s="26"/>
      <c r="P492" s="25"/>
    </row>
    <row r="493" customFormat="false" ht="15" hidden="false" customHeight="false" outlineLevel="0" collapsed="false">
      <c r="A493" s="25"/>
      <c r="B493" s="25"/>
      <c r="C493" s="29" t="str">
        <f aca="false">IF($B493="","",IFERROR(INDEX(Projects!$B$5:$B$204,MATCH($B493,Projects!$A$5:$A$204,0)),"Unknown project ID"))</f>
        <v/>
      </c>
      <c r="D493" s="25"/>
      <c r="E493" s="25"/>
      <c r="F493" s="25"/>
      <c r="G493" s="25"/>
      <c r="H493" s="25"/>
      <c r="I493" s="26"/>
      <c r="J493" s="26"/>
      <c r="K493" s="26"/>
      <c r="L493" s="30" t="str">
        <f aca="true">IF(OR($J493="",$H493="Done",$H493="Cancelled"),"",$J493-TODAY())</f>
        <v/>
      </c>
      <c r="M493" s="29" t="str">
        <f aca="true">IF(AND($J493&lt;&gt;"",$H493&lt;&gt;"Done",$H493&lt;&gt;"Cancelled",$J493&lt;TODAY()),"OVERDUE","")</f>
        <v/>
      </c>
      <c r="N493" s="25"/>
      <c r="O493" s="26"/>
      <c r="P493" s="25"/>
    </row>
    <row r="494" customFormat="false" ht="15" hidden="false" customHeight="false" outlineLevel="0" collapsed="false">
      <c r="A494" s="25"/>
      <c r="B494" s="25"/>
      <c r="C494" s="29" t="str">
        <f aca="false">IF($B494="","",IFERROR(INDEX(Projects!$B$5:$B$204,MATCH($B494,Projects!$A$5:$A$204,0)),"Unknown project ID"))</f>
        <v/>
      </c>
      <c r="D494" s="25"/>
      <c r="E494" s="25"/>
      <c r="F494" s="25"/>
      <c r="G494" s="25"/>
      <c r="H494" s="25"/>
      <c r="I494" s="26"/>
      <c r="J494" s="26"/>
      <c r="K494" s="26"/>
      <c r="L494" s="30" t="str">
        <f aca="true">IF(OR($J494="",$H494="Done",$H494="Cancelled"),"",$J494-TODAY())</f>
        <v/>
      </c>
      <c r="M494" s="29" t="str">
        <f aca="true">IF(AND($J494&lt;&gt;"",$H494&lt;&gt;"Done",$H494&lt;&gt;"Cancelled",$J494&lt;TODAY()),"OVERDUE","")</f>
        <v/>
      </c>
      <c r="N494" s="25"/>
      <c r="O494" s="26"/>
      <c r="P494" s="25"/>
    </row>
    <row r="495" customFormat="false" ht="15" hidden="false" customHeight="false" outlineLevel="0" collapsed="false">
      <c r="A495" s="25"/>
      <c r="B495" s="25"/>
      <c r="C495" s="29" t="str">
        <f aca="false">IF($B495="","",IFERROR(INDEX(Projects!$B$5:$B$204,MATCH($B495,Projects!$A$5:$A$204,0)),"Unknown project ID"))</f>
        <v/>
      </c>
      <c r="D495" s="25"/>
      <c r="E495" s="25"/>
      <c r="F495" s="25"/>
      <c r="G495" s="25"/>
      <c r="H495" s="25"/>
      <c r="I495" s="26"/>
      <c r="J495" s="26"/>
      <c r="K495" s="26"/>
      <c r="L495" s="30" t="str">
        <f aca="true">IF(OR($J495="",$H495="Done",$H495="Cancelled"),"",$J495-TODAY())</f>
        <v/>
      </c>
      <c r="M495" s="29" t="str">
        <f aca="true">IF(AND($J495&lt;&gt;"",$H495&lt;&gt;"Done",$H495&lt;&gt;"Cancelled",$J495&lt;TODAY()),"OVERDUE","")</f>
        <v/>
      </c>
      <c r="N495" s="25"/>
      <c r="O495" s="26"/>
      <c r="P495" s="25"/>
    </row>
    <row r="496" customFormat="false" ht="15" hidden="false" customHeight="false" outlineLevel="0" collapsed="false">
      <c r="A496" s="25"/>
      <c r="B496" s="25"/>
      <c r="C496" s="29" t="str">
        <f aca="false">IF($B496="","",IFERROR(INDEX(Projects!$B$5:$B$204,MATCH($B496,Projects!$A$5:$A$204,0)),"Unknown project ID"))</f>
        <v/>
      </c>
      <c r="D496" s="25"/>
      <c r="E496" s="25"/>
      <c r="F496" s="25"/>
      <c r="G496" s="25"/>
      <c r="H496" s="25"/>
      <c r="I496" s="26"/>
      <c r="J496" s="26"/>
      <c r="K496" s="26"/>
      <c r="L496" s="30" t="str">
        <f aca="true">IF(OR($J496="",$H496="Done",$H496="Cancelled"),"",$J496-TODAY())</f>
        <v/>
      </c>
      <c r="M496" s="29" t="str">
        <f aca="true">IF(AND($J496&lt;&gt;"",$H496&lt;&gt;"Done",$H496&lt;&gt;"Cancelled",$J496&lt;TODAY()),"OVERDUE","")</f>
        <v/>
      </c>
      <c r="N496" s="25"/>
      <c r="O496" s="26"/>
      <c r="P496" s="25"/>
    </row>
    <row r="497" customFormat="false" ht="15" hidden="false" customHeight="false" outlineLevel="0" collapsed="false">
      <c r="A497" s="25"/>
      <c r="B497" s="25"/>
      <c r="C497" s="29" t="str">
        <f aca="false">IF($B497="","",IFERROR(INDEX(Projects!$B$5:$B$204,MATCH($B497,Projects!$A$5:$A$204,0)),"Unknown project ID"))</f>
        <v/>
      </c>
      <c r="D497" s="25"/>
      <c r="E497" s="25"/>
      <c r="F497" s="25"/>
      <c r="G497" s="25"/>
      <c r="H497" s="25"/>
      <c r="I497" s="26"/>
      <c r="J497" s="26"/>
      <c r="K497" s="26"/>
      <c r="L497" s="30" t="str">
        <f aca="true">IF(OR($J497="",$H497="Done",$H497="Cancelled"),"",$J497-TODAY())</f>
        <v/>
      </c>
      <c r="M497" s="29" t="str">
        <f aca="true">IF(AND($J497&lt;&gt;"",$H497&lt;&gt;"Done",$H497&lt;&gt;"Cancelled",$J497&lt;TODAY()),"OVERDUE","")</f>
        <v/>
      </c>
      <c r="N497" s="25"/>
      <c r="O497" s="26"/>
      <c r="P497" s="25"/>
    </row>
    <row r="498" customFormat="false" ht="15" hidden="false" customHeight="false" outlineLevel="0" collapsed="false">
      <c r="A498" s="25"/>
      <c r="B498" s="25"/>
      <c r="C498" s="29" t="str">
        <f aca="false">IF($B498="","",IFERROR(INDEX(Projects!$B$5:$B$204,MATCH($B498,Projects!$A$5:$A$204,0)),"Unknown project ID"))</f>
        <v/>
      </c>
      <c r="D498" s="25"/>
      <c r="E498" s="25"/>
      <c r="F498" s="25"/>
      <c r="G498" s="25"/>
      <c r="H498" s="25"/>
      <c r="I498" s="26"/>
      <c r="J498" s="26"/>
      <c r="K498" s="26"/>
      <c r="L498" s="30" t="str">
        <f aca="true">IF(OR($J498="",$H498="Done",$H498="Cancelled"),"",$J498-TODAY())</f>
        <v/>
      </c>
      <c r="M498" s="29" t="str">
        <f aca="true">IF(AND($J498&lt;&gt;"",$H498&lt;&gt;"Done",$H498&lt;&gt;"Cancelled",$J498&lt;TODAY()),"OVERDUE","")</f>
        <v/>
      </c>
      <c r="N498" s="25"/>
      <c r="O498" s="26"/>
      <c r="P498" s="25"/>
    </row>
    <row r="499" customFormat="false" ht="15" hidden="false" customHeight="false" outlineLevel="0" collapsed="false">
      <c r="A499" s="25"/>
      <c r="B499" s="25"/>
      <c r="C499" s="29" t="str">
        <f aca="false">IF($B499="","",IFERROR(INDEX(Projects!$B$5:$B$204,MATCH($B499,Projects!$A$5:$A$204,0)),"Unknown project ID"))</f>
        <v/>
      </c>
      <c r="D499" s="25"/>
      <c r="E499" s="25"/>
      <c r="F499" s="25"/>
      <c r="G499" s="25"/>
      <c r="H499" s="25"/>
      <c r="I499" s="26"/>
      <c r="J499" s="26"/>
      <c r="K499" s="26"/>
      <c r="L499" s="30" t="str">
        <f aca="true">IF(OR($J499="",$H499="Done",$H499="Cancelled"),"",$J499-TODAY())</f>
        <v/>
      </c>
      <c r="M499" s="29" t="str">
        <f aca="true">IF(AND($J499&lt;&gt;"",$H499&lt;&gt;"Done",$H499&lt;&gt;"Cancelled",$J499&lt;TODAY()),"OVERDUE","")</f>
        <v/>
      </c>
      <c r="N499" s="25"/>
      <c r="O499" s="26"/>
      <c r="P499" s="25"/>
    </row>
    <row r="500" customFormat="false" ht="15" hidden="false" customHeight="false" outlineLevel="0" collapsed="false">
      <c r="A500" s="25"/>
      <c r="B500" s="25"/>
      <c r="C500" s="29" t="str">
        <f aca="false">IF($B500="","",IFERROR(INDEX(Projects!$B$5:$B$204,MATCH($B500,Projects!$A$5:$A$204,0)),"Unknown project ID"))</f>
        <v/>
      </c>
      <c r="D500" s="25"/>
      <c r="E500" s="25"/>
      <c r="F500" s="25"/>
      <c r="G500" s="25"/>
      <c r="H500" s="25"/>
      <c r="I500" s="26"/>
      <c r="J500" s="26"/>
      <c r="K500" s="26"/>
      <c r="L500" s="30" t="str">
        <f aca="true">IF(OR($J500="",$H500="Done",$H500="Cancelled"),"",$J500-TODAY())</f>
        <v/>
      </c>
      <c r="M500" s="29" t="str">
        <f aca="true">IF(AND($J500&lt;&gt;"",$H500&lt;&gt;"Done",$H500&lt;&gt;"Cancelled",$J500&lt;TODAY()),"OVERDUE","")</f>
        <v/>
      </c>
      <c r="N500" s="25"/>
      <c r="O500" s="26"/>
      <c r="P500" s="25"/>
    </row>
    <row r="501" customFormat="false" ht="15" hidden="false" customHeight="false" outlineLevel="0" collapsed="false">
      <c r="A501" s="25"/>
      <c r="B501" s="25"/>
      <c r="C501" s="29" t="str">
        <f aca="false">IF($B501="","",IFERROR(INDEX(Projects!$B$5:$B$204,MATCH($B501,Projects!$A$5:$A$204,0)),"Unknown project ID"))</f>
        <v/>
      </c>
      <c r="D501" s="25"/>
      <c r="E501" s="25"/>
      <c r="F501" s="25"/>
      <c r="G501" s="25"/>
      <c r="H501" s="25"/>
      <c r="I501" s="26"/>
      <c r="J501" s="26"/>
      <c r="K501" s="26"/>
      <c r="L501" s="30" t="str">
        <f aca="true">IF(OR($J501="",$H501="Done",$H501="Cancelled"),"",$J501-TODAY())</f>
        <v/>
      </c>
      <c r="M501" s="29" t="str">
        <f aca="true">IF(AND($J501&lt;&gt;"",$H501&lt;&gt;"Done",$H501&lt;&gt;"Cancelled",$J501&lt;TODAY()),"OVERDUE","")</f>
        <v/>
      </c>
      <c r="N501" s="25"/>
      <c r="O501" s="26"/>
      <c r="P501" s="25"/>
    </row>
    <row r="502" customFormat="false" ht="15" hidden="false" customHeight="false" outlineLevel="0" collapsed="false">
      <c r="A502" s="25"/>
      <c r="B502" s="25"/>
      <c r="C502" s="29" t="str">
        <f aca="false">IF($B502="","",IFERROR(INDEX(Projects!$B$5:$B$204,MATCH($B502,Projects!$A$5:$A$204,0)),"Unknown project ID"))</f>
        <v/>
      </c>
      <c r="D502" s="25"/>
      <c r="E502" s="25"/>
      <c r="F502" s="25"/>
      <c r="G502" s="25"/>
      <c r="H502" s="25"/>
      <c r="I502" s="26"/>
      <c r="J502" s="26"/>
      <c r="K502" s="26"/>
      <c r="L502" s="30" t="str">
        <f aca="true">IF(OR($J502="",$H502="Done",$H502="Cancelled"),"",$J502-TODAY())</f>
        <v/>
      </c>
      <c r="M502" s="29" t="str">
        <f aca="true">IF(AND($J502&lt;&gt;"",$H502&lt;&gt;"Done",$H502&lt;&gt;"Cancelled",$J502&lt;TODAY()),"OVERDUE","")</f>
        <v/>
      </c>
      <c r="N502" s="25"/>
      <c r="O502" s="26"/>
      <c r="P502" s="25"/>
    </row>
    <row r="503" customFormat="false" ht="15" hidden="false" customHeight="false" outlineLevel="0" collapsed="false">
      <c r="A503" s="25"/>
      <c r="B503" s="25"/>
      <c r="C503" s="29" t="str">
        <f aca="false">IF($B503="","",IFERROR(INDEX(Projects!$B$5:$B$204,MATCH($B503,Projects!$A$5:$A$204,0)),"Unknown project ID"))</f>
        <v/>
      </c>
      <c r="D503" s="25"/>
      <c r="E503" s="25"/>
      <c r="F503" s="25"/>
      <c r="G503" s="25"/>
      <c r="H503" s="25"/>
      <c r="I503" s="26"/>
      <c r="J503" s="26"/>
      <c r="K503" s="26"/>
      <c r="L503" s="30" t="str">
        <f aca="true">IF(OR($J503="",$H503="Done",$H503="Cancelled"),"",$J503-TODAY())</f>
        <v/>
      </c>
      <c r="M503" s="29" t="str">
        <f aca="true">IF(AND($J503&lt;&gt;"",$H503&lt;&gt;"Done",$H503&lt;&gt;"Cancelled",$J503&lt;TODAY()),"OVERDUE","")</f>
        <v/>
      </c>
      <c r="N503" s="25"/>
      <c r="O503" s="26"/>
      <c r="P503" s="25"/>
    </row>
    <row r="504" customFormat="false" ht="15" hidden="false" customHeight="false" outlineLevel="0" collapsed="false">
      <c r="A504" s="25"/>
      <c r="B504" s="25"/>
      <c r="C504" s="29" t="str">
        <f aca="false">IF($B504="","",IFERROR(INDEX(Projects!$B$5:$B$204,MATCH($B504,Projects!$A$5:$A$204,0)),"Unknown project ID"))</f>
        <v/>
      </c>
      <c r="D504" s="25"/>
      <c r="E504" s="25"/>
      <c r="F504" s="25"/>
      <c r="G504" s="25"/>
      <c r="H504" s="25"/>
      <c r="I504" s="26"/>
      <c r="J504" s="26"/>
      <c r="K504" s="26"/>
      <c r="L504" s="30" t="str">
        <f aca="true">IF(OR($J504="",$H504="Done",$H504="Cancelled"),"",$J504-TODAY())</f>
        <v/>
      </c>
      <c r="M504" s="29" t="str">
        <f aca="true">IF(AND($J504&lt;&gt;"",$H504&lt;&gt;"Done",$H504&lt;&gt;"Cancelled",$J504&lt;TODAY()),"OVERDUE","")</f>
        <v/>
      </c>
      <c r="N504" s="25"/>
      <c r="O504" s="26"/>
      <c r="P504" s="25"/>
    </row>
  </sheetData>
  <autoFilter ref="A4:P504"/>
  <conditionalFormatting sqref="H5:H504">
    <cfRule type="cellIs" priority="2" operator="equal" aboveAverage="0" equalAverage="0" bottom="0" percent="0" rank="0" text="" dxfId="18">
      <formula>"Done"</formula>
    </cfRule>
    <cfRule type="cellIs" priority="3" operator="equal" aboveAverage="0" equalAverage="0" bottom="0" percent="0" rank="0" text="" dxfId="22">
      <formula>"Blocked"</formula>
    </cfRule>
    <cfRule type="cellIs" priority="4" operator="equal" aboveAverage="0" equalAverage="0" bottom="0" percent="0" rank="0" text="" dxfId="19">
      <formula>"On Hold"</formula>
    </cfRule>
    <cfRule type="cellIs" priority="5" operator="equal" aboveAverage="0" equalAverage="0" bottom="0" percent="0" rank="0" text="" dxfId="23">
      <formula>"In Progress"</formula>
    </cfRule>
    <cfRule type="cellIs" priority="6" operator="equal" aboveAverage="0" equalAverage="0" bottom="0" percent="0" rank="0" text="" dxfId="24">
      <formula>"Cancelled"</formula>
    </cfRule>
  </conditionalFormatting>
  <conditionalFormatting sqref="G5:G504">
    <cfRule type="cellIs" priority="7" operator="equal" aboveAverage="0" equalAverage="0" bottom="0" percent="0" rank="0" text="" dxfId="5">
      <formula>"Critical"</formula>
    </cfRule>
    <cfRule type="cellIs" priority="8" operator="equal" aboveAverage="0" equalAverage="0" bottom="0" percent="0" rank="0" text="" dxfId="17">
      <formula>"High"</formula>
    </cfRule>
  </conditionalFormatting>
  <conditionalFormatting sqref="M5:M504">
    <cfRule type="cellIs" priority="9" operator="equal" aboveAverage="0" equalAverage="0" bottom="0" percent="0" rank="0" text="" dxfId="0">
      <formula>"OVERDUE"</formula>
    </cfRule>
  </conditionalFormatting>
  <conditionalFormatting sqref="L5:L504">
    <cfRule type="cellIs" priority="10" operator="lessThan" aboveAverage="0" equalAverage="0" bottom="0" percent="0" rank="0" text="" dxfId="5">
      <formula>0</formula>
    </cfRule>
    <cfRule type="expression" priority="11" aboveAverage="0" equalAverage="0" bottom="0" percent="0" rank="0" text="" dxfId="1">
      <formula>AND(ISNUMBER($L5),$L5&gt;=0,$L5&lt;=Lists!$K$5)</formula>
    </cfRule>
  </conditionalFormatting>
  <conditionalFormatting sqref="C5:C504">
    <cfRule type="cellIs" priority="12" operator="equal" aboveAverage="0" equalAverage="0" bottom="0" percent="0" rank="0" text="" dxfId="5">
      <formula>"Unknown project ID"</formula>
    </cfRule>
  </conditionalFormatting>
  <dataValidations count="5">
    <dataValidation allowBlank="true" error="Pick a value from the dropdown (edit the Lists sheet to add new ones)." errorStyle="stop" errorTitle="Invalid entry" operator="between" showDropDown="false" showErrorMessage="true" showInputMessage="false" sqref="B5:B504" type="list">
      <formula1>Projects!$A$5:$A$204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E5:E504" type="list">
      <formula1>Lists!$E$4:$E$11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F5:F504" type="list">
      <formula1>Team!$A$5:$A$54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G5:G504" type="list">
      <formula1>Lists!$B$4:$B$7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H5:H504" type="list">
      <formula1>Lists!$A$4:$A$9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183</v>
      </c>
    </row>
    <row r="4" customFormat="false" ht="30" hidden="false" customHeight="true" outlineLevel="0" collapsed="false">
      <c r="A4" s="24" t="s">
        <v>73</v>
      </c>
      <c r="B4" s="24" t="s">
        <v>184</v>
      </c>
      <c r="C4" s="24" t="s">
        <v>185</v>
      </c>
      <c r="D4" s="24" t="s">
        <v>186</v>
      </c>
      <c r="E4" s="24" t="s">
        <v>140</v>
      </c>
      <c r="F4" s="24" t="s">
        <v>187</v>
      </c>
      <c r="G4" s="24" t="s">
        <v>62</v>
      </c>
      <c r="H4" s="24" t="s">
        <v>65</v>
      </c>
      <c r="I4" s="24" t="s">
        <v>59</v>
      </c>
      <c r="J4" s="24" t="s">
        <v>188</v>
      </c>
    </row>
    <row r="5" customFormat="false" ht="15" hidden="false" customHeight="false" outlineLevel="0" collapsed="false">
      <c r="A5" s="25" t="s">
        <v>104</v>
      </c>
      <c r="B5" s="25" t="s">
        <v>189</v>
      </c>
      <c r="C5" s="25" t="s">
        <v>190</v>
      </c>
      <c r="D5" s="25" t="s">
        <v>191</v>
      </c>
      <c r="E5" s="25" t="s">
        <v>192</v>
      </c>
      <c r="F5" s="27" t="n">
        <f aca="false">IF($A5="","",COUNTIFS(Tasks!$F$5:$F$504,$A5)-COUNTIFS(Tasks!$F$5:$F$504,$A5,Tasks!$H$5:$H$504,"Done")-COUNTIFS(Tasks!$F$5:$F$504,$A5,Tasks!$H$5:$H$504,"Cancelled"))</f>
        <v>5</v>
      </c>
      <c r="G5" s="27" t="n">
        <f aca="false">IF($A5="","",COUNTIFS(Tasks!$F$5:$F$504,$A5,Tasks!$H$5:$H$504,"In Progress"))</f>
        <v>1</v>
      </c>
      <c r="H5" s="27" t="n">
        <f aca="false">IF($A5="","",COUNTIFS(Tasks!$F$5:$F$504,$A5,Tasks!$H$5:$H$504,"Blocked"))</f>
        <v>1</v>
      </c>
      <c r="I5" s="27" t="n">
        <f aca="false">IF($A5="","",COUNTIFS(Tasks!$F$5:$F$504,$A5,Tasks!$M$5:$M$504,"OVERDUE"))</f>
        <v>1</v>
      </c>
      <c r="J5" s="27" t="n">
        <f aca="false">IF($A5="","",COUNTIFS(Tasks!$F$5:$F$504,$A5,Tasks!$H$5:$H$504,"Done"))</f>
        <v>0</v>
      </c>
    </row>
    <row r="6" customFormat="false" ht="15" hidden="false" customHeight="false" outlineLevel="0" collapsed="false">
      <c r="A6" s="25" t="s">
        <v>148</v>
      </c>
      <c r="B6" s="25" t="s">
        <v>193</v>
      </c>
      <c r="C6" s="25" t="s">
        <v>194</v>
      </c>
      <c r="D6" s="25" t="s">
        <v>195</v>
      </c>
      <c r="E6" s="25" t="s">
        <v>144</v>
      </c>
      <c r="F6" s="27" t="n">
        <f aca="false">IF($A6="","",COUNTIFS(Tasks!$F$5:$F$504,$A6)-COUNTIFS(Tasks!$F$5:$F$504,$A6,Tasks!$H$5:$H$504,"Done")-COUNTIFS(Tasks!$F$5:$F$504,$A6,Tasks!$H$5:$H$504,"Cancelled"))</f>
        <v>0</v>
      </c>
      <c r="G6" s="27" t="n">
        <f aca="false">IF($A6="","",COUNTIFS(Tasks!$F$5:$F$504,$A6,Tasks!$H$5:$H$504,"In Progress"))</f>
        <v>0</v>
      </c>
      <c r="H6" s="27" t="n">
        <f aca="false">IF($A6="","",COUNTIFS(Tasks!$F$5:$F$504,$A6,Tasks!$H$5:$H$504,"Blocked"))</f>
        <v>0</v>
      </c>
      <c r="I6" s="27" t="n">
        <f aca="false">IF($A6="","",COUNTIFS(Tasks!$F$5:$F$504,$A6,Tasks!$M$5:$M$504,"OVERDUE"))</f>
        <v>0</v>
      </c>
      <c r="J6" s="27" t="n">
        <f aca="false">IF($A6="","",COUNTIFS(Tasks!$F$5:$F$504,$A6,Tasks!$H$5:$H$504,"Done"))</f>
        <v>2</v>
      </c>
    </row>
    <row r="7" customFormat="false" ht="15" hidden="false" customHeight="false" outlineLevel="0" collapsed="false">
      <c r="A7" s="25" t="s">
        <v>151</v>
      </c>
      <c r="B7" s="25" t="s">
        <v>196</v>
      </c>
      <c r="C7" s="25" t="s">
        <v>197</v>
      </c>
      <c r="D7" s="25" t="s">
        <v>195</v>
      </c>
      <c r="E7" s="25" t="s">
        <v>144</v>
      </c>
      <c r="F7" s="27" t="n">
        <f aca="false">IF($A7="","",COUNTIFS(Tasks!$F$5:$F$504,$A7)-COUNTIFS(Tasks!$F$5:$F$504,$A7,Tasks!$H$5:$H$504,"Done")-COUNTIFS(Tasks!$F$5:$F$504,$A7,Tasks!$H$5:$H$504,"Cancelled"))</f>
        <v>2</v>
      </c>
      <c r="G7" s="27" t="n">
        <f aca="false">IF($A7="","",COUNTIFS(Tasks!$F$5:$F$504,$A7,Tasks!$H$5:$H$504,"In Progress"))</f>
        <v>0</v>
      </c>
      <c r="H7" s="27" t="n">
        <f aca="false">IF($A7="","",COUNTIFS(Tasks!$F$5:$F$504,$A7,Tasks!$H$5:$H$504,"Blocked"))</f>
        <v>1</v>
      </c>
      <c r="I7" s="27" t="n">
        <f aca="false">IF($A7="","",COUNTIFS(Tasks!$F$5:$F$504,$A7,Tasks!$M$5:$M$504,"OVERDUE"))</f>
        <v>1</v>
      </c>
      <c r="J7" s="27" t="n">
        <f aca="false">IF($A7="","",COUNTIFS(Tasks!$F$5:$F$504,$A7,Tasks!$H$5:$H$504,"Done"))</f>
        <v>0</v>
      </c>
    </row>
    <row r="8" customFormat="false" ht="15" hidden="false" customHeight="false" outlineLevel="0" collapsed="false">
      <c r="A8" s="25" t="s">
        <v>118</v>
      </c>
      <c r="B8" s="25" t="s">
        <v>198</v>
      </c>
      <c r="C8" s="25" t="s">
        <v>199</v>
      </c>
      <c r="D8" s="25" t="s">
        <v>191</v>
      </c>
      <c r="E8" s="25" t="s">
        <v>144</v>
      </c>
      <c r="F8" s="27" t="n">
        <f aca="false">IF($A8="","",COUNTIFS(Tasks!$F$5:$F$504,$A8)-COUNTIFS(Tasks!$F$5:$F$504,$A8,Tasks!$H$5:$H$504,"Done")-COUNTIFS(Tasks!$F$5:$F$504,$A8,Tasks!$H$5:$H$504,"Cancelled"))</f>
        <v>1</v>
      </c>
      <c r="G8" s="27" t="n">
        <f aca="false">IF($A8="","",COUNTIFS(Tasks!$F$5:$F$504,$A8,Tasks!$H$5:$H$504,"In Progress"))</f>
        <v>1</v>
      </c>
      <c r="H8" s="27" t="n">
        <f aca="false">IF($A8="","",COUNTIFS(Tasks!$F$5:$F$504,$A8,Tasks!$H$5:$H$504,"Blocked"))</f>
        <v>0</v>
      </c>
      <c r="I8" s="27" t="n">
        <f aca="false">IF($A8="","",COUNTIFS(Tasks!$F$5:$F$504,$A8,Tasks!$M$5:$M$504,"OVERDUE"))</f>
        <v>0</v>
      </c>
      <c r="J8" s="27" t="n">
        <f aca="false">IF($A8="","",COUNTIFS(Tasks!$F$5:$F$504,$A8,Tasks!$H$5:$H$504,"Done"))</f>
        <v>1</v>
      </c>
    </row>
    <row r="9" customFormat="false" ht="15" hidden="false" customHeight="false" outlineLevel="0" collapsed="false">
      <c r="A9" s="25" t="s">
        <v>156</v>
      </c>
      <c r="B9" s="25" t="s">
        <v>200</v>
      </c>
      <c r="C9" s="25" t="s">
        <v>201</v>
      </c>
      <c r="D9" s="25" t="s">
        <v>195</v>
      </c>
      <c r="E9" s="25" t="s">
        <v>144</v>
      </c>
      <c r="F9" s="27" t="n">
        <f aca="false">IF($A9="","",COUNTIFS(Tasks!$F$5:$F$504,$A9)-COUNTIFS(Tasks!$F$5:$F$504,$A9,Tasks!$H$5:$H$504,"Done")-COUNTIFS(Tasks!$F$5:$F$504,$A9,Tasks!$H$5:$H$504,"Cancelled"))</f>
        <v>2</v>
      </c>
      <c r="G9" s="27" t="n">
        <f aca="false">IF($A9="","",COUNTIFS(Tasks!$F$5:$F$504,$A9,Tasks!$H$5:$H$504,"In Progress"))</f>
        <v>2</v>
      </c>
      <c r="H9" s="27" t="n">
        <f aca="false">IF($A9="","",COUNTIFS(Tasks!$F$5:$F$504,$A9,Tasks!$H$5:$H$504,"Blocked"))</f>
        <v>0</v>
      </c>
      <c r="I9" s="27" t="n">
        <f aca="false">IF($A9="","",COUNTIFS(Tasks!$F$5:$F$504,$A9,Tasks!$M$5:$M$504,"OVERDUE"))</f>
        <v>0</v>
      </c>
      <c r="J9" s="27" t="n">
        <f aca="false">IF($A9="","",COUNTIFS(Tasks!$F$5:$F$504,$A9,Tasks!$H$5:$H$504,"Done"))</f>
        <v>0</v>
      </c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7" t="str">
        <f aca="false">IF($A10="","",COUNTIFS(Tasks!$F$5:$F$504,$A10)-COUNTIFS(Tasks!$F$5:$F$504,$A10,Tasks!$H$5:$H$504,"Done")-COUNTIFS(Tasks!$F$5:$F$504,$A10,Tasks!$H$5:$H$504,"Cancelled"))</f>
        <v/>
      </c>
      <c r="G10" s="27" t="str">
        <f aca="false">IF($A10="","",COUNTIFS(Tasks!$F$5:$F$504,$A10,Tasks!$H$5:$H$504,"In Progress"))</f>
        <v/>
      </c>
      <c r="H10" s="27" t="str">
        <f aca="false">IF($A10="","",COUNTIFS(Tasks!$F$5:$F$504,$A10,Tasks!$H$5:$H$504,"Blocked"))</f>
        <v/>
      </c>
      <c r="I10" s="27" t="str">
        <f aca="false">IF($A10="","",COUNTIFS(Tasks!$F$5:$F$504,$A10,Tasks!$M$5:$M$504,"OVERDUE"))</f>
        <v/>
      </c>
      <c r="J10" s="27" t="str">
        <f aca="false">IF($A10="","",COUNTIFS(Tasks!$F$5:$F$504,$A10,Tasks!$H$5:$H$504,"Done"))</f>
        <v/>
      </c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7" t="str">
        <f aca="false">IF($A11="","",COUNTIFS(Tasks!$F$5:$F$504,$A11)-COUNTIFS(Tasks!$F$5:$F$504,$A11,Tasks!$H$5:$H$504,"Done")-COUNTIFS(Tasks!$F$5:$F$504,$A11,Tasks!$H$5:$H$504,"Cancelled"))</f>
        <v/>
      </c>
      <c r="G11" s="27" t="str">
        <f aca="false">IF($A11="","",COUNTIFS(Tasks!$F$5:$F$504,$A11,Tasks!$H$5:$H$504,"In Progress"))</f>
        <v/>
      </c>
      <c r="H11" s="27" t="str">
        <f aca="false">IF($A11="","",COUNTIFS(Tasks!$F$5:$F$504,$A11,Tasks!$H$5:$H$504,"Blocked"))</f>
        <v/>
      </c>
      <c r="I11" s="27" t="str">
        <f aca="false">IF($A11="","",COUNTIFS(Tasks!$F$5:$F$504,$A11,Tasks!$M$5:$M$504,"OVERDUE"))</f>
        <v/>
      </c>
      <c r="J11" s="27" t="str">
        <f aca="false">IF($A11="","",COUNTIFS(Tasks!$F$5:$F$504,$A11,Tasks!$H$5:$H$504,"Done"))</f>
        <v/>
      </c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7" t="str">
        <f aca="false">IF($A12="","",COUNTIFS(Tasks!$F$5:$F$504,$A12)-COUNTIFS(Tasks!$F$5:$F$504,$A12,Tasks!$H$5:$H$504,"Done")-COUNTIFS(Tasks!$F$5:$F$504,$A12,Tasks!$H$5:$H$504,"Cancelled"))</f>
        <v/>
      </c>
      <c r="G12" s="27" t="str">
        <f aca="false">IF($A12="","",COUNTIFS(Tasks!$F$5:$F$504,$A12,Tasks!$H$5:$H$504,"In Progress"))</f>
        <v/>
      </c>
      <c r="H12" s="27" t="str">
        <f aca="false">IF($A12="","",COUNTIFS(Tasks!$F$5:$F$504,$A12,Tasks!$H$5:$H$504,"Blocked"))</f>
        <v/>
      </c>
      <c r="I12" s="27" t="str">
        <f aca="false">IF($A12="","",COUNTIFS(Tasks!$F$5:$F$504,$A12,Tasks!$M$5:$M$504,"OVERDUE"))</f>
        <v/>
      </c>
      <c r="J12" s="27" t="str">
        <f aca="false">IF($A12="","",COUNTIFS(Tasks!$F$5:$F$504,$A12,Tasks!$H$5:$H$504,"Done"))</f>
        <v/>
      </c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7" t="str">
        <f aca="false">IF($A13="","",COUNTIFS(Tasks!$F$5:$F$504,$A13)-COUNTIFS(Tasks!$F$5:$F$504,$A13,Tasks!$H$5:$H$504,"Done")-COUNTIFS(Tasks!$F$5:$F$504,$A13,Tasks!$H$5:$H$504,"Cancelled"))</f>
        <v/>
      </c>
      <c r="G13" s="27" t="str">
        <f aca="false">IF($A13="","",COUNTIFS(Tasks!$F$5:$F$504,$A13,Tasks!$H$5:$H$504,"In Progress"))</f>
        <v/>
      </c>
      <c r="H13" s="27" t="str">
        <f aca="false">IF($A13="","",COUNTIFS(Tasks!$F$5:$F$504,$A13,Tasks!$H$5:$H$504,"Blocked"))</f>
        <v/>
      </c>
      <c r="I13" s="27" t="str">
        <f aca="false">IF($A13="","",COUNTIFS(Tasks!$F$5:$F$504,$A13,Tasks!$M$5:$M$504,"OVERDUE"))</f>
        <v/>
      </c>
      <c r="J13" s="27" t="str">
        <f aca="false">IF($A13="","",COUNTIFS(Tasks!$F$5:$F$504,$A13,Tasks!$H$5:$H$504,"Done"))</f>
        <v/>
      </c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7" t="str">
        <f aca="false">IF($A14="","",COUNTIFS(Tasks!$F$5:$F$504,$A14)-COUNTIFS(Tasks!$F$5:$F$504,$A14,Tasks!$H$5:$H$504,"Done")-COUNTIFS(Tasks!$F$5:$F$504,$A14,Tasks!$H$5:$H$504,"Cancelled"))</f>
        <v/>
      </c>
      <c r="G14" s="27" t="str">
        <f aca="false">IF($A14="","",COUNTIFS(Tasks!$F$5:$F$504,$A14,Tasks!$H$5:$H$504,"In Progress"))</f>
        <v/>
      </c>
      <c r="H14" s="27" t="str">
        <f aca="false">IF($A14="","",COUNTIFS(Tasks!$F$5:$F$504,$A14,Tasks!$H$5:$H$504,"Blocked"))</f>
        <v/>
      </c>
      <c r="I14" s="27" t="str">
        <f aca="false">IF($A14="","",COUNTIFS(Tasks!$F$5:$F$504,$A14,Tasks!$M$5:$M$504,"OVERDUE"))</f>
        <v/>
      </c>
      <c r="J14" s="27" t="str">
        <f aca="false">IF($A14="","",COUNTIFS(Tasks!$F$5:$F$504,$A14,Tasks!$H$5:$H$504,"Done"))</f>
        <v/>
      </c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7" t="str">
        <f aca="false">IF($A15="","",COUNTIFS(Tasks!$F$5:$F$504,$A15)-COUNTIFS(Tasks!$F$5:$F$504,$A15,Tasks!$H$5:$H$504,"Done")-COUNTIFS(Tasks!$F$5:$F$504,$A15,Tasks!$H$5:$H$504,"Cancelled"))</f>
        <v/>
      </c>
      <c r="G15" s="27" t="str">
        <f aca="false">IF($A15="","",COUNTIFS(Tasks!$F$5:$F$504,$A15,Tasks!$H$5:$H$504,"In Progress"))</f>
        <v/>
      </c>
      <c r="H15" s="27" t="str">
        <f aca="false">IF($A15="","",COUNTIFS(Tasks!$F$5:$F$504,$A15,Tasks!$H$5:$H$504,"Blocked"))</f>
        <v/>
      </c>
      <c r="I15" s="27" t="str">
        <f aca="false">IF($A15="","",COUNTIFS(Tasks!$F$5:$F$504,$A15,Tasks!$M$5:$M$504,"OVERDUE"))</f>
        <v/>
      </c>
      <c r="J15" s="27" t="str">
        <f aca="false">IF($A15="","",COUNTIFS(Tasks!$F$5:$F$504,$A15,Tasks!$H$5:$H$504,"Done"))</f>
        <v/>
      </c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7" t="str">
        <f aca="false">IF($A16="","",COUNTIFS(Tasks!$F$5:$F$504,$A16)-COUNTIFS(Tasks!$F$5:$F$504,$A16,Tasks!$H$5:$H$504,"Done")-COUNTIFS(Tasks!$F$5:$F$504,$A16,Tasks!$H$5:$H$504,"Cancelled"))</f>
        <v/>
      </c>
      <c r="G16" s="27" t="str">
        <f aca="false">IF($A16="","",COUNTIFS(Tasks!$F$5:$F$504,$A16,Tasks!$H$5:$H$504,"In Progress"))</f>
        <v/>
      </c>
      <c r="H16" s="27" t="str">
        <f aca="false">IF($A16="","",COUNTIFS(Tasks!$F$5:$F$504,$A16,Tasks!$H$5:$H$504,"Blocked"))</f>
        <v/>
      </c>
      <c r="I16" s="27" t="str">
        <f aca="false">IF($A16="","",COUNTIFS(Tasks!$F$5:$F$504,$A16,Tasks!$M$5:$M$504,"OVERDUE"))</f>
        <v/>
      </c>
      <c r="J16" s="27" t="str">
        <f aca="false">IF($A16="","",COUNTIFS(Tasks!$F$5:$F$504,$A16,Tasks!$H$5:$H$504,"Done"))</f>
        <v/>
      </c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7" t="str">
        <f aca="false">IF($A17="","",COUNTIFS(Tasks!$F$5:$F$504,$A17)-COUNTIFS(Tasks!$F$5:$F$504,$A17,Tasks!$H$5:$H$504,"Done")-COUNTIFS(Tasks!$F$5:$F$504,$A17,Tasks!$H$5:$H$504,"Cancelled"))</f>
        <v/>
      </c>
      <c r="G17" s="27" t="str">
        <f aca="false">IF($A17="","",COUNTIFS(Tasks!$F$5:$F$504,$A17,Tasks!$H$5:$H$504,"In Progress"))</f>
        <v/>
      </c>
      <c r="H17" s="27" t="str">
        <f aca="false">IF($A17="","",COUNTIFS(Tasks!$F$5:$F$504,$A17,Tasks!$H$5:$H$504,"Blocked"))</f>
        <v/>
      </c>
      <c r="I17" s="27" t="str">
        <f aca="false">IF($A17="","",COUNTIFS(Tasks!$F$5:$F$504,$A17,Tasks!$M$5:$M$504,"OVERDUE"))</f>
        <v/>
      </c>
      <c r="J17" s="27" t="str">
        <f aca="false">IF($A17="","",COUNTIFS(Tasks!$F$5:$F$504,$A17,Tasks!$H$5:$H$504,"Done"))</f>
        <v/>
      </c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7" t="str">
        <f aca="false">IF($A18="","",COUNTIFS(Tasks!$F$5:$F$504,$A18)-COUNTIFS(Tasks!$F$5:$F$504,$A18,Tasks!$H$5:$H$504,"Done")-COUNTIFS(Tasks!$F$5:$F$504,$A18,Tasks!$H$5:$H$504,"Cancelled"))</f>
        <v/>
      </c>
      <c r="G18" s="27" t="str">
        <f aca="false">IF($A18="","",COUNTIFS(Tasks!$F$5:$F$504,$A18,Tasks!$H$5:$H$504,"In Progress"))</f>
        <v/>
      </c>
      <c r="H18" s="27" t="str">
        <f aca="false">IF($A18="","",COUNTIFS(Tasks!$F$5:$F$504,$A18,Tasks!$H$5:$H$504,"Blocked"))</f>
        <v/>
      </c>
      <c r="I18" s="27" t="str">
        <f aca="false">IF($A18="","",COUNTIFS(Tasks!$F$5:$F$504,$A18,Tasks!$M$5:$M$504,"OVERDUE"))</f>
        <v/>
      </c>
      <c r="J18" s="27" t="str">
        <f aca="false">IF($A18="","",COUNTIFS(Tasks!$F$5:$F$504,$A18,Tasks!$H$5:$H$504,"Done"))</f>
        <v/>
      </c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7" t="str">
        <f aca="false">IF($A19="","",COUNTIFS(Tasks!$F$5:$F$504,$A19)-COUNTIFS(Tasks!$F$5:$F$504,$A19,Tasks!$H$5:$H$504,"Done")-COUNTIFS(Tasks!$F$5:$F$504,$A19,Tasks!$H$5:$H$504,"Cancelled"))</f>
        <v/>
      </c>
      <c r="G19" s="27" t="str">
        <f aca="false">IF($A19="","",COUNTIFS(Tasks!$F$5:$F$504,$A19,Tasks!$H$5:$H$504,"In Progress"))</f>
        <v/>
      </c>
      <c r="H19" s="27" t="str">
        <f aca="false">IF($A19="","",COUNTIFS(Tasks!$F$5:$F$504,$A19,Tasks!$H$5:$H$504,"Blocked"))</f>
        <v/>
      </c>
      <c r="I19" s="27" t="str">
        <f aca="false">IF($A19="","",COUNTIFS(Tasks!$F$5:$F$504,$A19,Tasks!$M$5:$M$504,"OVERDUE"))</f>
        <v/>
      </c>
      <c r="J19" s="27" t="str">
        <f aca="false">IF($A19="","",COUNTIFS(Tasks!$F$5:$F$504,$A19,Tasks!$H$5:$H$504,"Done"))</f>
        <v/>
      </c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7" t="str">
        <f aca="false">IF($A20="","",COUNTIFS(Tasks!$F$5:$F$504,$A20)-COUNTIFS(Tasks!$F$5:$F$504,$A20,Tasks!$H$5:$H$504,"Done")-COUNTIFS(Tasks!$F$5:$F$504,$A20,Tasks!$H$5:$H$504,"Cancelled"))</f>
        <v/>
      </c>
      <c r="G20" s="27" t="str">
        <f aca="false">IF($A20="","",COUNTIFS(Tasks!$F$5:$F$504,$A20,Tasks!$H$5:$H$504,"In Progress"))</f>
        <v/>
      </c>
      <c r="H20" s="27" t="str">
        <f aca="false">IF($A20="","",COUNTIFS(Tasks!$F$5:$F$504,$A20,Tasks!$H$5:$H$504,"Blocked"))</f>
        <v/>
      </c>
      <c r="I20" s="27" t="str">
        <f aca="false">IF($A20="","",COUNTIFS(Tasks!$F$5:$F$504,$A20,Tasks!$M$5:$M$504,"OVERDUE"))</f>
        <v/>
      </c>
      <c r="J20" s="27" t="str">
        <f aca="false">IF($A20="","",COUNTIFS(Tasks!$F$5:$F$504,$A20,Tasks!$H$5:$H$504,"Done"))</f>
        <v/>
      </c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7" t="str">
        <f aca="false">IF($A21="","",COUNTIFS(Tasks!$F$5:$F$504,$A21)-COUNTIFS(Tasks!$F$5:$F$504,$A21,Tasks!$H$5:$H$504,"Done")-COUNTIFS(Tasks!$F$5:$F$504,$A21,Tasks!$H$5:$H$504,"Cancelled"))</f>
        <v/>
      </c>
      <c r="G21" s="27" t="str">
        <f aca="false">IF($A21="","",COUNTIFS(Tasks!$F$5:$F$504,$A21,Tasks!$H$5:$H$504,"In Progress"))</f>
        <v/>
      </c>
      <c r="H21" s="27" t="str">
        <f aca="false">IF($A21="","",COUNTIFS(Tasks!$F$5:$F$504,$A21,Tasks!$H$5:$H$504,"Blocked"))</f>
        <v/>
      </c>
      <c r="I21" s="27" t="str">
        <f aca="false">IF($A21="","",COUNTIFS(Tasks!$F$5:$F$504,$A21,Tasks!$M$5:$M$504,"OVERDUE"))</f>
        <v/>
      </c>
      <c r="J21" s="27" t="str">
        <f aca="false">IF($A21="","",COUNTIFS(Tasks!$F$5:$F$504,$A21,Tasks!$H$5:$H$504,"Done"))</f>
        <v/>
      </c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7" t="str">
        <f aca="false">IF($A22="","",COUNTIFS(Tasks!$F$5:$F$504,$A22)-COUNTIFS(Tasks!$F$5:$F$504,$A22,Tasks!$H$5:$H$504,"Done")-COUNTIFS(Tasks!$F$5:$F$504,$A22,Tasks!$H$5:$H$504,"Cancelled"))</f>
        <v/>
      </c>
      <c r="G22" s="27" t="str">
        <f aca="false">IF($A22="","",COUNTIFS(Tasks!$F$5:$F$504,$A22,Tasks!$H$5:$H$504,"In Progress"))</f>
        <v/>
      </c>
      <c r="H22" s="27" t="str">
        <f aca="false">IF($A22="","",COUNTIFS(Tasks!$F$5:$F$504,$A22,Tasks!$H$5:$H$504,"Blocked"))</f>
        <v/>
      </c>
      <c r="I22" s="27" t="str">
        <f aca="false">IF($A22="","",COUNTIFS(Tasks!$F$5:$F$504,$A22,Tasks!$M$5:$M$504,"OVERDUE"))</f>
        <v/>
      </c>
      <c r="J22" s="27" t="str">
        <f aca="false">IF($A22="","",COUNTIFS(Tasks!$F$5:$F$504,$A22,Tasks!$H$5:$H$504,"Done"))</f>
        <v/>
      </c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7" t="str">
        <f aca="false">IF($A23="","",COUNTIFS(Tasks!$F$5:$F$504,$A23)-COUNTIFS(Tasks!$F$5:$F$504,$A23,Tasks!$H$5:$H$504,"Done")-COUNTIFS(Tasks!$F$5:$F$504,$A23,Tasks!$H$5:$H$504,"Cancelled"))</f>
        <v/>
      </c>
      <c r="G23" s="27" t="str">
        <f aca="false">IF($A23="","",COUNTIFS(Tasks!$F$5:$F$504,$A23,Tasks!$H$5:$H$504,"In Progress"))</f>
        <v/>
      </c>
      <c r="H23" s="27" t="str">
        <f aca="false">IF($A23="","",COUNTIFS(Tasks!$F$5:$F$504,$A23,Tasks!$H$5:$H$504,"Blocked"))</f>
        <v/>
      </c>
      <c r="I23" s="27" t="str">
        <f aca="false">IF($A23="","",COUNTIFS(Tasks!$F$5:$F$504,$A23,Tasks!$M$5:$M$504,"OVERDUE"))</f>
        <v/>
      </c>
      <c r="J23" s="27" t="str">
        <f aca="false">IF($A23="","",COUNTIFS(Tasks!$F$5:$F$504,$A23,Tasks!$H$5:$H$504,"Done"))</f>
        <v/>
      </c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7" t="str">
        <f aca="false">IF($A24="","",COUNTIFS(Tasks!$F$5:$F$504,$A24)-COUNTIFS(Tasks!$F$5:$F$504,$A24,Tasks!$H$5:$H$504,"Done")-COUNTIFS(Tasks!$F$5:$F$504,$A24,Tasks!$H$5:$H$504,"Cancelled"))</f>
        <v/>
      </c>
      <c r="G24" s="27" t="str">
        <f aca="false">IF($A24="","",COUNTIFS(Tasks!$F$5:$F$504,$A24,Tasks!$H$5:$H$504,"In Progress"))</f>
        <v/>
      </c>
      <c r="H24" s="27" t="str">
        <f aca="false">IF($A24="","",COUNTIFS(Tasks!$F$5:$F$504,$A24,Tasks!$H$5:$H$504,"Blocked"))</f>
        <v/>
      </c>
      <c r="I24" s="27" t="str">
        <f aca="false">IF($A24="","",COUNTIFS(Tasks!$F$5:$F$504,$A24,Tasks!$M$5:$M$504,"OVERDUE"))</f>
        <v/>
      </c>
      <c r="J24" s="27" t="str">
        <f aca="false">IF($A24="","",COUNTIFS(Tasks!$F$5:$F$504,$A24,Tasks!$H$5:$H$504,"Done"))</f>
        <v/>
      </c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7" t="str">
        <f aca="false">IF($A25="","",COUNTIFS(Tasks!$F$5:$F$504,$A25)-COUNTIFS(Tasks!$F$5:$F$504,$A25,Tasks!$H$5:$H$504,"Done")-COUNTIFS(Tasks!$F$5:$F$504,$A25,Tasks!$H$5:$H$504,"Cancelled"))</f>
        <v/>
      </c>
      <c r="G25" s="27" t="str">
        <f aca="false">IF($A25="","",COUNTIFS(Tasks!$F$5:$F$504,$A25,Tasks!$H$5:$H$504,"In Progress"))</f>
        <v/>
      </c>
      <c r="H25" s="27" t="str">
        <f aca="false">IF($A25="","",COUNTIFS(Tasks!$F$5:$F$504,$A25,Tasks!$H$5:$H$504,"Blocked"))</f>
        <v/>
      </c>
      <c r="I25" s="27" t="str">
        <f aca="false">IF($A25="","",COUNTIFS(Tasks!$F$5:$F$504,$A25,Tasks!$M$5:$M$504,"OVERDUE"))</f>
        <v/>
      </c>
      <c r="J25" s="27" t="str">
        <f aca="false">IF($A25="","",COUNTIFS(Tasks!$F$5:$F$504,$A25,Tasks!$H$5:$H$504,"Done"))</f>
        <v/>
      </c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7" t="str">
        <f aca="false">IF($A26="","",COUNTIFS(Tasks!$F$5:$F$504,$A26)-COUNTIFS(Tasks!$F$5:$F$504,$A26,Tasks!$H$5:$H$504,"Done")-COUNTIFS(Tasks!$F$5:$F$504,$A26,Tasks!$H$5:$H$504,"Cancelled"))</f>
        <v/>
      </c>
      <c r="G26" s="27" t="str">
        <f aca="false">IF($A26="","",COUNTIFS(Tasks!$F$5:$F$504,$A26,Tasks!$H$5:$H$504,"In Progress"))</f>
        <v/>
      </c>
      <c r="H26" s="27" t="str">
        <f aca="false">IF($A26="","",COUNTIFS(Tasks!$F$5:$F$504,$A26,Tasks!$H$5:$H$504,"Blocked"))</f>
        <v/>
      </c>
      <c r="I26" s="27" t="str">
        <f aca="false">IF($A26="","",COUNTIFS(Tasks!$F$5:$F$504,$A26,Tasks!$M$5:$M$504,"OVERDUE"))</f>
        <v/>
      </c>
      <c r="J26" s="27" t="str">
        <f aca="false">IF($A26="","",COUNTIFS(Tasks!$F$5:$F$504,$A26,Tasks!$H$5:$H$504,"Done"))</f>
        <v/>
      </c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7" t="str">
        <f aca="false">IF($A27="","",COUNTIFS(Tasks!$F$5:$F$504,$A27)-COUNTIFS(Tasks!$F$5:$F$504,$A27,Tasks!$H$5:$H$504,"Done")-COUNTIFS(Tasks!$F$5:$F$504,$A27,Tasks!$H$5:$H$504,"Cancelled"))</f>
        <v/>
      </c>
      <c r="G27" s="27" t="str">
        <f aca="false">IF($A27="","",COUNTIFS(Tasks!$F$5:$F$504,$A27,Tasks!$H$5:$H$504,"In Progress"))</f>
        <v/>
      </c>
      <c r="H27" s="27" t="str">
        <f aca="false">IF($A27="","",COUNTIFS(Tasks!$F$5:$F$504,$A27,Tasks!$H$5:$H$504,"Blocked"))</f>
        <v/>
      </c>
      <c r="I27" s="27" t="str">
        <f aca="false">IF($A27="","",COUNTIFS(Tasks!$F$5:$F$504,$A27,Tasks!$M$5:$M$504,"OVERDUE"))</f>
        <v/>
      </c>
      <c r="J27" s="27" t="str">
        <f aca="false">IF($A27="","",COUNTIFS(Tasks!$F$5:$F$504,$A27,Tasks!$H$5:$H$504,"Done"))</f>
        <v/>
      </c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7" t="str">
        <f aca="false">IF($A28="","",COUNTIFS(Tasks!$F$5:$F$504,$A28)-COUNTIFS(Tasks!$F$5:$F$504,$A28,Tasks!$H$5:$H$504,"Done")-COUNTIFS(Tasks!$F$5:$F$504,$A28,Tasks!$H$5:$H$504,"Cancelled"))</f>
        <v/>
      </c>
      <c r="G28" s="27" t="str">
        <f aca="false">IF($A28="","",COUNTIFS(Tasks!$F$5:$F$504,$A28,Tasks!$H$5:$H$504,"In Progress"))</f>
        <v/>
      </c>
      <c r="H28" s="27" t="str">
        <f aca="false">IF($A28="","",COUNTIFS(Tasks!$F$5:$F$504,$A28,Tasks!$H$5:$H$504,"Blocked"))</f>
        <v/>
      </c>
      <c r="I28" s="27" t="str">
        <f aca="false">IF($A28="","",COUNTIFS(Tasks!$F$5:$F$504,$A28,Tasks!$M$5:$M$504,"OVERDUE"))</f>
        <v/>
      </c>
      <c r="J28" s="27" t="str">
        <f aca="false">IF($A28="","",COUNTIFS(Tasks!$F$5:$F$504,$A28,Tasks!$H$5:$H$504,"Done"))</f>
        <v/>
      </c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7" t="str">
        <f aca="false">IF($A29="","",COUNTIFS(Tasks!$F$5:$F$504,$A29)-COUNTIFS(Tasks!$F$5:$F$504,$A29,Tasks!$H$5:$H$504,"Done")-COUNTIFS(Tasks!$F$5:$F$504,$A29,Tasks!$H$5:$H$504,"Cancelled"))</f>
        <v/>
      </c>
      <c r="G29" s="27" t="str">
        <f aca="false">IF($A29="","",COUNTIFS(Tasks!$F$5:$F$504,$A29,Tasks!$H$5:$H$504,"In Progress"))</f>
        <v/>
      </c>
      <c r="H29" s="27" t="str">
        <f aca="false">IF($A29="","",COUNTIFS(Tasks!$F$5:$F$504,$A29,Tasks!$H$5:$H$504,"Blocked"))</f>
        <v/>
      </c>
      <c r="I29" s="27" t="str">
        <f aca="false">IF($A29="","",COUNTIFS(Tasks!$F$5:$F$504,$A29,Tasks!$M$5:$M$504,"OVERDUE"))</f>
        <v/>
      </c>
      <c r="J29" s="27" t="str">
        <f aca="false">IF($A29="","",COUNTIFS(Tasks!$F$5:$F$504,$A29,Tasks!$H$5:$H$504,"Done"))</f>
        <v/>
      </c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7" t="str">
        <f aca="false">IF($A30="","",COUNTIFS(Tasks!$F$5:$F$504,$A30)-COUNTIFS(Tasks!$F$5:$F$504,$A30,Tasks!$H$5:$H$504,"Done")-COUNTIFS(Tasks!$F$5:$F$504,$A30,Tasks!$H$5:$H$504,"Cancelled"))</f>
        <v/>
      </c>
      <c r="G30" s="27" t="str">
        <f aca="false">IF($A30="","",COUNTIFS(Tasks!$F$5:$F$504,$A30,Tasks!$H$5:$H$504,"In Progress"))</f>
        <v/>
      </c>
      <c r="H30" s="27" t="str">
        <f aca="false">IF($A30="","",COUNTIFS(Tasks!$F$5:$F$504,$A30,Tasks!$H$5:$H$504,"Blocked"))</f>
        <v/>
      </c>
      <c r="I30" s="27" t="str">
        <f aca="false">IF($A30="","",COUNTIFS(Tasks!$F$5:$F$504,$A30,Tasks!$M$5:$M$504,"OVERDUE"))</f>
        <v/>
      </c>
      <c r="J30" s="27" t="str">
        <f aca="false">IF($A30="","",COUNTIFS(Tasks!$F$5:$F$504,$A30,Tasks!$H$5:$H$504,"Done"))</f>
        <v/>
      </c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7" t="str">
        <f aca="false">IF($A31="","",COUNTIFS(Tasks!$F$5:$F$504,$A31)-COUNTIFS(Tasks!$F$5:$F$504,$A31,Tasks!$H$5:$H$504,"Done")-COUNTIFS(Tasks!$F$5:$F$504,$A31,Tasks!$H$5:$H$504,"Cancelled"))</f>
        <v/>
      </c>
      <c r="G31" s="27" t="str">
        <f aca="false">IF($A31="","",COUNTIFS(Tasks!$F$5:$F$504,$A31,Tasks!$H$5:$H$504,"In Progress"))</f>
        <v/>
      </c>
      <c r="H31" s="27" t="str">
        <f aca="false">IF($A31="","",COUNTIFS(Tasks!$F$5:$F$504,$A31,Tasks!$H$5:$H$504,"Blocked"))</f>
        <v/>
      </c>
      <c r="I31" s="27" t="str">
        <f aca="false">IF($A31="","",COUNTIFS(Tasks!$F$5:$F$504,$A31,Tasks!$M$5:$M$504,"OVERDUE"))</f>
        <v/>
      </c>
      <c r="J31" s="27" t="str">
        <f aca="false">IF($A31="","",COUNTIFS(Tasks!$F$5:$F$504,$A31,Tasks!$H$5:$H$504,"Done"))</f>
        <v/>
      </c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7" t="str">
        <f aca="false">IF($A32="","",COUNTIFS(Tasks!$F$5:$F$504,$A32)-COUNTIFS(Tasks!$F$5:$F$504,$A32,Tasks!$H$5:$H$504,"Done")-COUNTIFS(Tasks!$F$5:$F$504,$A32,Tasks!$H$5:$H$504,"Cancelled"))</f>
        <v/>
      </c>
      <c r="G32" s="27" t="str">
        <f aca="false">IF($A32="","",COUNTIFS(Tasks!$F$5:$F$504,$A32,Tasks!$H$5:$H$504,"In Progress"))</f>
        <v/>
      </c>
      <c r="H32" s="27" t="str">
        <f aca="false">IF($A32="","",COUNTIFS(Tasks!$F$5:$F$504,$A32,Tasks!$H$5:$H$504,"Blocked"))</f>
        <v/>
      </c>
      <c r="I32" s="27" t="str">
        <f aca="false">IF($A32="","",COUNTIFS(Tasks!$F$5:$F$504,$A32,Tasks!$M$5:$M$504,"OVERDUE"))</f>
        <v/>
      </c>
      <c r="J32" s="27" t="str">
        <f aca="false">IF($A32="","",COUNTIFS(Tasks!$F$5:$F$504,$A32,Tasks!$H$5:$H$504,"Done"))</f>
        <v/>
      </c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7" t="str">
        <f aca="false">IF($A33="","",COUNTIFS(Tasks!$F$5:$F$504,$A33)-COUNTIFS(Tasks!$F$5:$F$504,$A33,Tasks!$H$5:$H$504,"Done")-COUNTIFS(Tasks!$F$5:$F$504,$A33,Tasks!$H$5:$H$504,"Cancelled"))</f>
        <v/>
      </c>
      <c r="G33" s="27" t="str">
        <f aca="false">IF($A33="","",COUNTIFS(Tasks!$F$5:$F$504,$A33,Tasks!$H$5:$H$504,"In Progress"))</f>
        <v/>
      </c>
      <c r="H33" s="27" t="str">
        <f aca="false">IF($A33="","",COUNTIFS(Tasks!$F$5:$F$504,$A33,Tasks!$H$5:$H$504,"Blocked"))</f>
        <v/>
      </c>
      <c r="I33" s="27" t="str">
        <f aca="false">IF($A33="","",COUNTIFS(Tasks!$F$5:$F$504,$A33,Tasks!$M$5:$M$504,"OVERDUE"))</f>
        <v/>
      </c>
      <c r="J33" s="27" t="str">
        <f aca="false">IF($A33="","",COUNTIFS(Tasks!$F$5:$F$504,$A33,Tasks!$H$5:$H$504,"Done"))</f>
        <v/>
      </c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7" t="str">
        <f aca="false">IF($A34="","",COUNTIFS(Tasks!$F$5:$F$504,$A34)-COUNTIFS(Tasks!$F$5:$F$504,$A34,Tasks!$H$5:$H$504,"Done")-COUNTIFS(Tasks!$F$5:$F$504,$A34,Tasks!$H$5:$H$504,"Cancelled"))</f>
        <v/>
      </c>
      <c r="G34" s="27" t="str">
        <f aca="false">IF($A34="","",COUNTIFS(Tasks!$F$5:$F$504,$A34,Tasks!$H$5:$H$504,"In Progress"))</f>
        <v/>
      </c>
      <c r="H34" s="27" t="str">
        <f aca="false">IF($A34="","",COUNTIFS(Tasks!$F$5:$F$504,$A34,Tasks!$H$5:$H$504,"Blocked"))</f>
        <v/>
      </c>
      <c r="I34" s="27" t="str">
        <f aca="false">IF($A34="","",COUNTIFS(Tasks!$F$5:$F$504,$A34,Tasks!$M$5:$M$504,"OVERDUE"))</f>
        <v/>
      </c>
      <c r="J34" s="27" t="str">
        <f aca="false">IF($A34="","",COUNTIFS(Tasks!$F$5:$F$504,$A34,Tasks!$H$5:$H$504,"Done"))</f>
        <v/>
      </c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7" t="str">
        <f aca="false">IF($A35="","",COUNTIFS(Tasks!$F$5:$F$504,$A35)-COUNTIFS(Tasks!$F$5:$F$504,$A35,Tasks!$H$5:$H$504,"Done")-COUNTIFS(Tasks!$F$5:$F$504,$A35,Tasks!$H$5:$H$504,"Cancelled"))</f>
        <v/>
      </c>
      <c r="G35" s="27" t="str">
        <f aca="false">IF($A35="","",COUNTIFS(Tasks!$F$5:$F$504,$A35,Tasks!$H$5:$H$504,"In Progress"))</f>
        <v/>
      </c>
      <c r="H35" s="27" t="str">
        <f aca="false">IF($A35="","",COUNTIFS(Tasks!$F$5:$F$504,$A35,Tasks!$H$5:$H$504,"Blocked"))</f>
        <v/>
      </c>
      <c r="I35" s="27" t="str">
        <f aca="false">IF($A35="","",COUNTIFS(Tasks!$F$5:$F$504,$A35,Tasks!$M$5:$M$504,"OVERDUE"))</f>
        <v/>
      </c>
      <c r="J35" s="27" t="str">
        <f aca="false">IF($A35="","",COUNTIFS(Tasks!$F$5:$F$504,$A35,Tasks!$H$5:$H$504,"Done"))</f>
        <v/>
      </c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7" t="str">
        <f aca="false">IF($A36="","",COUNTIFS(Tasks!$F$5:$F$504,$A36)-COUNTIFS(Tasks!$F$5:$F$504,$A36,Tasks!$H$5:$H$504,"Done")-COUNTIFS(Tasks!$F$5:$F$504,$A36,Tasks!$H$5:$H$504,"Cancelled"))</f>
        <v/>
      </c>
      <c r="G36" s="27" t="str">
        <f aca="false">IF($A36="","",COUNTIFS(Tasks!$F$5:$F$504,$A36,Tasks!$H$5:$H$504,"In Progress"))</f>
        <v/>
      </c>
      <c r="H36" s="27" t="str">
        <f aca="false">IF($A36="","",COUNTIFS(Tasks!$F$5:$F$504,$A36,Tasks!$H$5:$H$504,"Blocked"))</f>
        <v/>
      </c>
      <c r="I36" s="27" t="str">
        <f aca="false">IF($A36="","",COUNTIFS(Tasks!$F$5:$F$504,$A36,Tasks!$M$5:$M$504,"OVERDUE"))</f>
        <v/>
      </c>
      <c r="J36" s="27" t="str">
        <f aca="false">IF($A36="","",COUNTIFS(Tasks!$F$5:$F$504,$A36,Tasks!$H$5:$H$504,"Done"))</f>
        <v/>
      </c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7" t="str">
        <f aca="false">IF($A37="","",COUNTIFS(Tasks!$F$5:$F$504,$A37)-COUNTIFS(Tasks!$F$5:$F$504,$A37,Tasks!$H$5:$H$504,"Done")-COUNTIFS(Tasks!$F$5:$F$504,$A37,Tasks!$H$5:$H$504,"Cancelled"))</f>
        <v/>
      </c>
      <c r="G37" s="27" t="str">
        <f aca="false">IF($A37="","",COUNTIFS(Tasks!$F$5:$F$504,$A37,Tasks!$H$5:$H$504,"In Progress"))</f>
        <v/>
      </c>
      <c r="H37" s="27" t="str">
        <f aca="false">IF($A37="","",COUNTIFS(Tasks!$F$5:$F$504,$A37,Tasks!$H$5:$H$504,"Blocked"))</f>
        <v/>
      </c>
      <c r="I37" s="27" t="str">
        <f aca="false">IF($A37="","",COUNTIFS(Tasks!$F$5:$F$504,$A37,Tasks!$M$5:$M$504,"OVERDUE"))</f>
        <v/>
      </c>
      <c r="J37" s="27" t="str">
        <f aca="false">IF($A37="","",COUNTIFS(Tasks!$F$5:$F$504,$A37,Tasks!$H$5:$H$504,"Done"))</f>
        <v/>
      </c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7" t="str">
        <f aca="false">IF($A38="","",COUNTIFS(Tasks!$F$5:$F$504,$A38)-COUNTIFS(Tasks!$F$5:$F$504,$A38,Tasks!$H$5:$H$504,"Done")-COUNTIFS(Tasks!$F$5:$F$504,$A38,Tasks!$H$5:$H$504,"Cancelled"))</f>
        <v/>
      </c>
      <c r="G38" s="27" t="str">
        <f aca="false">IF($A38="","",COUNTIFS(Tasks!$F$5:$F$504,$A38,Tasks!$H$5:$H$504,"In Progress"))</f>
        <v/>
      </c>
      <c r="H38" s="27" t="str">
        <f aca="false">IF($A38="","",COUNTIFS(Tasks!$F$5:$F$504,$A38,Tasks!$H$5:$H$504,"Blocked"))</f>
        <v/>
      </c>
      <c r="I38" s="27" t="str">
        <f aca="false">IF($A38="","",COUNTIFS(Tasks!$F$5:$F$504,$A38,Tasks!$M$5:$M$504,"OVERDUE"))</f>
        <v/>
      </c>
      <c r="J38" s="27" t="str">
        <f aca="false">IF($A38="","",COUNTIFS(Tasks!$F$5:$F$504,$A38,Tasks!$H$5:$H$504,"Done"))</f>
        <v/>
      </c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7" t="str">
        <f aca="false">IF($A39="","",COUNTIFS(Tasks!$F$5:$F$504,$A39)-COUNTIFS(Tasks!$F$5:$F$504,$A39,Tasks!$H$5:$H$504,"Done")-COUNTIFS(Tasks!$F$5:$F$504,$A39,Tasks!$H$5:$H$504,"Cancelled"))</f>
        <v/>
      </c>
      <c r="G39" s="27" t="str">
        <f aca="false">IF($A39="","",COUNTIFS(Tasks!$F$5:$F$504,$A39,Tasks!$H$5:$H$504,"In Progress"))</f>
        <v/>
      </c>
      <c r="H39" s="27" t="str">
        <f aca="false">IF($A39="","",COUNTIFS(Tasks!$F$5:$F$504,$A39,Tasks!$H$5:$H$504,"Blocked"))</f>
        <v/>
      </c>
      <c r="I39" s="27" t="str">
        <f aca="false">IF($A39="","",COUNTIFS(Tasks!$F$5:$F$504,$A39,Tasks!$M$5:$M$504,"OVERDUE"))</f>
        <v/>
      </c>
      <c r="J39" s="27" t="str">
        <f aca="false">IF($A39="","",COUNTIFS(Tasks!$F$5:$F$504,$A39,Tasks!$H$5:$H$504,"Done"))</f>
        <v/>
      </c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7" t="str">
        <f aca="false">IF($A40="","",COUNTIFS(Tasks!$F$5:$F$504,$A40)-COUNTIFS(Tasks!$F$5:$F$504,$A40,Tasks!$H$5:$H$504,"Done")-COUNTIFS(Tasks!$F$5:$F$504,$A40,Tasks!$H$5:$H$504,"Cancelled"))</f>
        <v/>
      </c>
      <c r="G40" s="27" t="str">
        <f aca="false">IF($A40="","",COUNTIFS(Tasks!$F$5:$F$504,$A40,Tasks!$H$5:$H$504,"In Progress"))</f>
        <v/>
      </c>
      <c r="H40" s="27" t="str">
        <f aca="false">IF($A40="","",COUNTIFS(Tasks!$F$5:$F$504,$A40,Tasks!$H$5:$H$504,"Blocked"))</f>
        <v/>
      </c>
      <c r="I40" s="27" t="str">
        <f aca="false">IF($A40="","",COUNTIFS(Tasks!$F$5:$F$504,$A40,Tasks!$M$5:$M$504,"OVERDUE"))</f>
        <v/>
      </c>
      <c r="J40" s="27" t="str">
        <f aca="false">IF($A40="","",COUNTIFS(Tasks!$F$5:$F$504,$A40,Tasks!$H$5:$H$504,"Done"))</f>
        <v/>
      </c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7" t="str">
        <f aca="false">IF($A41="","",COUNTIFS(Tasks!$F$5:$F$504,$A41)-COUNTIFS(Tasks!$F$5:$F$504,$A41,Tasks!$H$5:$H$504,"Done")-COUNTIFS(Tasks!$F$5:$F$504,$A41,Tasks!$H$5:$H$504,"Cancelled"))</f>
        <v/>
      </c>
      <c r="G41" s="27" t="str">
        <f aca="false">IF($A41="","",COUNTIFS(Tasks!$F$5:$F$504,$A41,Tasks!$H$5:$H$504,"In Progress"))</f>
        <v/>
      </c>
      <c r="H41" s="27" t="str">
        <f aca="false">IF($A41="","",COUNTIFS(Tasks!$F$5:$F$504,$A41,Tasks!$H$5:$H$504,"Blocked"))</f>
        <v/>
      </c>
      <c r="I41" s="27" t="str">
        <f aca="false">IF($A41="","",COUNTIFS(Tasks!$F$5:$F$504,$A41,Tasks!$M$5:$M$504,"OVERDUE"))</f>
        <v/>
      </c>
      <c r="J41" s="27" t="str">
        <f aca="false">IF($A41="","",COUNTIFS(Tasks!$F$5:$F$504,$A41,Tasks!$H$5:$H$504,"Done"))</f>
        <v/>
      </c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7" t="str">
        <f aca="false">IF($A42="","",COUNTIFS(Tasks!$F$5:$F$504,$A42)-COUNTIFS(Tasks!$F$5:$F$504,$A42,Tasks!$H$5:$H$504,"Done")-COUNTIFS(Tasks!$F$5:$F$504,$A42,Tasks!$H$5:$H$504,"Cancelled"))</f>
        <v/>
      </c>
      <c r="G42" s="27" t="str">
        <f aca="false">IF($A42="","",COUNTIFS(Tasks!$F$5:$F$504,$A42,Tasks!$H$5:$H$504,"In Progress"))</f>
        <v/>
      </c>
      <c r="H42" s="27" t="str">
        <f aca="false">IF($A42="","",COUNTIFS(Tasks!$F$5:$F$504,$A42,Tasks!$H$5:$H$504,"Blocked"))</f>
        <v/>
      </c>
      <c r="I42" s="27" t="str">
        <f aca="false">IF($A42="","",COUNTIFS(Tasks!$F$5:$F$504,$A42,Tasks!$M$5:$M$504,"OVERDUE"))</f>
        <v/>
      </c>
      <c r="J42" s="27" t="str">
        <f aca="false">IF($A42="","",COUNTIFS(Tasks!$F$5:$F$504,$A42,Tasks!$H$5:$H$504,"Done"))</f>
        <v/>
      </c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7" t="str">
        <f aca="false">IF($A43="","",COUNTIFS(Tasks!$F$5:$F$504,$A43)-COUNTIFS(Tasks!$F$5:$F$504,$A43,Tasks!$H$5:$H$504,"Done")-COUNTIFS(Tasks!$F$5:$F$504,$A43,Tasks!$H$5:$H$504,"Cancelled"))</f>
        <v/>
      </c>
      <c r="G43" s="27" t="str">
        <f aca="false">IF($A43="","",COUNTIFS(Tasks!$F$5:$F$504,$A43,Tasks!$H$5:$H$504,"In Progress"))</f>
        <v/>
      </c>
      <c r="H43" s="27" t="str">
        <f aca="false">IF($A43="","",COUNTIFS(Tasks!$F$5:$F$504,$A43,Tasks!$H$5:$H$504,"Blocked"))</f>
        <v/>
      </c>
      <c r="I43" s="27" t="str">
        <f aca="false">IF($A43="","",COUNTIFS(Tasks!$F$5:$F$504,$A43,Tasks!$M$5:$M$504,"OVERDUE"))</f>
        <v/>
      </c>
      <c r="J43" s="27" t="str">
        <f aca="false">IF($A43="","",COUNTIFS(Tasks!$F$5:$F$504,$A43,Tasks!$H$5:$H$504,"Done"))</f>
        <v/>
      </c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7" t="str">
        <f aca="false">IF($A44="","",COUNTIFS(Tasks!$F$5:$F$504,$A44)-COUNTIFS(Tasks!$F$5:$F$504,$A44,Tasks!$H$5:$H$504,"Done")-COUNTIFS(Tasks!$F$5:$F$504,$A44,Tasks!$H$5:$H$504,"Cancelled"))</f>
        <v/>
      </c>
      <c r="G44" s="27" t="str">
        <f aca="false">IF($A44="","",COUNTIFS(Tasks!$F$5:$F$504,$A44,Tasks!$H$5:$H$504,"In Progress"))</f>
        <v/>
      </c>
      <c r="H44" s="27" t="str">
        <f aca="false">IF($A44="","",COUNTIFS(Tasks!$F$5:$F$504,$A44,Tasks!$H$5:$H$504,"Blocked"))</f>
        <v/>
      </c>
      <c r="I44" s="27" t="str">
        <f aca="false">IF($A44="","",COUNTIFS(Tasks!$F$5:$F$504,$A44,Tasks!$M$5:$M$504,"OVERDUE"))</f>
        <v/>
      </c>
      <c r="J44" s="27" t="str">
        <f aca="false">IF($A44="","",COUNTIFS(Tasks!$F$5:$F$504,$A44,Tasks!$H$5:$H$504,"Done"))</f>
        <v/>
      </c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7" t="str">
        <f aca="false">IF($A45="","",COUNTIFS(Tasks!$F$5:$F$504,$A45)-COUNTIFS(Tasks!$F$5:$F$504,$A45,Tasks!$H$5:$H$504,"Done")-COUNTIFS(Tasks!$F$5:$F$504,$A45,Tasks!$H$5:$H$504,"Cancelled"))</f>
        <v/>
      </c>
      <c r="G45" s="27" t="str">
        <f aca="false">IF($A45="","",COUNTIFS(Tasks!$F$5:$F$504,$A45,Tasks!$H$5:$H$504,"In Progress"))</f>
        <v/>
      </c>
      <c r="H45" s="27" t="str">
        <f aca="false">IF($A45="","",COUNTIFS(Tasks!$F$5:$F$504,$A45,Tasks!$H$5:$H$504,"Blocked"))</f>
        <v/>
      </c>
      <c r="I45" s="27" t="str">
        <f aca="false">IF($A45="","",COUNTIFS(Tasks!$F$5:$F$504,$A45,Tasks!$M$5:$M$504,"OVERDUE"))</f>
        <v/>
      </c>
      <c r="J45" s="27" t="str">
        <f aca="false">IF($A45="","",COUNTIFS(Tasks!$F$5:$F$504,$A45,Tasks!$H$5:$H$504,"Done"))</f>
        <v/>
      </c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7" t="str">
        <f aca="false">IF($A46="","",COUNTIFS(Tasks!$F$5:$F$504,$A46)-COUNTIFS(Tasks!$F$5:$F$504,$A46,Tasks!$H$5:$H$504,"Done")-COUNTIFS(Tasks!$F$5:$F$504,$A46,Tasks!$H$5:$H$504,"Cancelled"))</f>
        <v/>
      </c>
      <c r="G46" s="27" t="str">
        <f aca="false">IF($A46="","",COUNTIFS(Tasks!$F$5:$F$504,$A46,Tasks!$H$5:$H$504,"In Progress"))</f>
        <v/>
      </c>
      <c r="H46" s="27" t="str">
        <f aca="false">IF($A46="","",COUNTIFS(Tasks!$F$5:$F$504,$A46,Tasks!$H$5:$H$504,"Blocked"))</f>
        <v/>
      </c>
      <c r="I46" s="27" t="str">
        <f aca="false">IF($A46="","",COUNTIFS(Tasks!$F$5:$F$504,$A46,Tasks!$M$5:$M$504,"OVERDUE"))</f>
        <v/>
      </c>
      <c r="J46" s="27" t="str">
        <f aca="false">IF($A46="","",COUNTIFS(Tasks!$F$5:$F$504,$A46,Tasks!$H$5:$H$504,"Done"))</f>
        <v/>
      </c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7" t="str">
        <f aca="false">IF($A47="","",COUNTIFS(Tasks!$F$5:$F$504,$A47)-COUNTIFS(Tasks!$F$5:$F$504,$A47,Tasks!$H$5:$H$504,"Done")-COUNTIFS(Tasks!$F$5:$F$504,$A47,Tasks!$H$5:$H$504,"Cancelled"))</f>
        <v/>
      </c>
      <c r="G47" s="27" t="str">
        <f aca="false">IF($A47="","",COUNTIFS(Tasks!$F$5:$F$504,$A47,Tasks!$H$5:$H$504,"In Progress"))</f>
        <v/>
      </c>
      <c r="H47" s="27" t="str">
        <f aca="false">IF($A47="","",COUNTIFS(Tasks!$F$5:$F$504,$A47,Tasks!$H$5:$H$504,"Blocked"))</f>
        <v/>
      </c>
      <c r="I47" s="27" t="str">
        <f aca="false">IF($A47="","",COUNTIFS(Tasks!$F$5:$F$504,$A47,Tasks!$M$5:$M$504,"OVERDUE"))</f>
        <v/>
      </c>
      <c r="J47" s="27" t="str">
        <f aca="false">IF($A47="","",COUNTIFS(Tasks!$F$5:$F$504,$A47,Tasks!$H$5:$H$504,"Done"))</f>
        <v/>
      </c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7" t="str">
        <f aca="false">IF($A48="","",COUNTIFS(Tasks!$F$5:$F$504,$A48)-COUNTIFS(Tasks!$F$5:$F$504,$A48,Tasks!$H$5:$H$504,"Done")-COUNTIFS(Tasks!$F$5:$F$504,$A48,Tasks!$H$5:$H$504,"Cancelled"))</f>
        <v/>
      </c>
      <c r="G48" s="27" t="str">
        <f aca="false">IF($A48="","",COUNTIFS(Tasks!$F$5:$F$504,$A48,Tasks!$H$5:$H$504,"In Progress"))</f>
        <v/>
      </c>
      <c r="H48" s="27" t="str">
        <f aca="false">IF($A48="","",COUNTIFS(Tasks!$F$5:$F$504,$A48,Tasks!$H$5:$H$504,"Blocked"))</f>
        <v/>
      </c>
      <c r="I48" s="27" t="str">
        <f aca="false">IF($A48="","",COUNTIFS(Tasks!$F$5:$F$504,$A48,Tasks!$M$5:$M$504,"OVERDUE"))</f>
        <v/>
      </c>
      <c r="J48" s="27" t="str">
        <f aca="false">IF($A48="","",COUNTIFS(Tasks!$F$5:$F$504,$A48,Tasks!$H$5:$H$504,"Done"))</f>
        <v/>
      </c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7" t="str">
        <f aca="false">IF($A49="","",COUNTIFS(Tasks!$F$5:$F$504,$A49)-COUNTIFS(Tasks!$F$5:$F$504,$A49,Tasks!$H$5:$H$504,"Done")-COUNTIFS(Tasks!$F$5:$F$504,$A49,Tasks!$H$5:$H$504,"Cancelled"))</f>
        <v/>
      </c>
      <c r="G49" s="27" t="str">
        <f aca="false">IF($A49="","",COUNTIFS(Tasks!$F$5:$F$504,$A49,Tasks!$H$5:$H$504,"In Progress"))</f>
        <v/>
      </c>
      <c r="H49" s="27" t="str">
        <f aca="false">IF($A49="","",COUNTIFS(Tasks!$F$5:$F$504,$A49,Tasks!$H$5:$H$504,"Blocked"))</f>
        <v/>
      </c>
      <c r="I49" s="27" t="str">
        <f aca="false">IF($A49="","",COUNTIFS(Tasks!$F$5:$F$504,$A49,Tasks!$M$5:$M$504,"OVERDUE"))</f>
        <v/>
      </c>
      <c r="J49" s="27" t="str">
        <f aca="false">IF($A49="","",COUNTIFS(Tasks!$F$5:$F$504,$A49,Tasks!$H$5:$H$504,"Done"))</f>
        <v/>
      </c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7" t="str">
        <f aca="false">IF($A50="","",COUNTIFS(Tasks!$F$5:$F$504,$A50)-COUNTIFS(Tasks!$F$5:$F$504,$A50,Tasks!$H$5:$H$504,"Done")-COUNTIFS(Tasks!$F$5:$F$504,$A50,Tasks!$H$5:$H$504,"Cancelled"))</f>
        <v/>
      </c>
      <c r="G50" s="27" t="str">
        <f aca="false">IF($A50="","",COUNTIFS(Tasks!$F$5:$F$504,$A50,Tasks!$H$5:$H$504,"In Progress"))</f>
        <v/>
      </c>
      <c r="H50" s="27" t="str">
        <f aca="false">IF($A50="","",COUNTIFS(Tasks!$F$5:$F$504,$A50,Tasks!$H$5:$H$504,"Blocked"))</f>
        <v/>
      </c>
      <c r="I50" s="27" t="str">
        <f aca="false">IF($A50="","",COUNTIFS(Tasks!$F$5:$F$504,$A50,Tasks!$M$5:$M$504,"OVERDUE"))</f>
        <v/>
      </c>
      <c r="J50" s="27" t="str">
        <f aca="false">IF($A50="","",COUNTIFS(Tasks!$F$5:$F$504,$A50,Tasks!$H$5:$H$504,"Done"))</f>
        <v/>
      </c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7" t="str">
        <f aca="false">IF($A51="","",COUNTIFS(Tasks!$F$5:$F$504,$A51)-COUNTIFS(Tasks!$F$5:$F$504,$A51,Tasks!$H$5:$H$504,"Done")-COUNTIFS(Tasks!$F$5:$F$504,$A51,Tasks!$H$5:$H$504,"Cancelled"))</f>
        <v/>
      </c>
      <c r="G51" s="27" t="str">
        <f aca="false">IF($A51="","",COUNTIFS(Tasks!$F$5:$F$504,$A51,Tasks!$H$5:$H$504,"In Progress"))</f>
        <v/>
      </c>
      <c r="H51" s="27" t="str">
        <f aca="false">IF($A51="","",COUNTIFS(Tasks!$F$5:$F$504,$A51,Tasks!$H$5:$H$504,"Blocked"))</f>
        <v/>
      </c>
      <c r="I51" s="27" t="str">
        <f aca="false">IF($A51="","",COUNTIFS(Tasks!$F$5:$F$504,$A51,Tasks!$M$5:$M$504,"OVERDUE"))</f>
        <v/>
      </c>
      <c r="J51" s="27" t="str">
        <f aca="false">IF($A51="","",COUNTIFS(Tasks!$F$5:$F$504,$A51,Tasks!$H$5:$H$504,"Done"))</f>
        <v/>
      </c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7" t="str">
        <f aca="false">IF($A52="","",COUNTIFS(Tasks!$F$5:$F$504,$A52)-COUNTIFS(Tasks!$F$5:$F$504,$A52,Tasks!$H$5:$H$504,"Done")-COUNTIFS(Tasks!$F$5:$F$504,$A52,Tasks!$H$5:$H$504,"Cancelled"))</f>
        <v/>
      </c>
      <c r="G52" s="27" t="str">
        <f aca="false">IF($A52="","",COUNTIFS(Tasks!$F$5:$F$504,$A52,Tasks!$H$5:$H$504,"In Progress"))</f>
        <v/>
      </c>
      <c r="H52" s="27" t="str">
        <f aca="false">IF($A52="","",COUNTIFS(Tasks!$F$5:$F$504,$A52,Tasks!$H$5:$H$504,"Blocked"))</f>
        <v/>
      </c>
      <c r="I52" s="27" t="str">
        <f aca="false">IF($A52="","",COUNTIFS(Tasks!$F$5:$F$504,$A52,Tasks!$M$5:$M$504,"OVERDUE"))</f>
        <v/>
      </c>
      <c r="J52" s="27" t="str">
        <f aca="false">IF($A52="","",COUNTIFS(Tasks!$F$5:$F$504,$A52,Tasks!$H$5:$H$504,"Done"))</f>
        <v/>
      </c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7" t="str">
        <f aca="false">IF($A53="","",COUNTIFS(Tasks!$F$5:$F$504,$A53)-COUNTIFS(Tasks!$F$5:$F$504,$A53,Tasks!$H$5:$H$504,"Done")-COUNTIFS(Tasks!$F$5:$F$504,$A53,Tasks!$H$5:$H$504,"Cancelled"))</f>
        <v/>
      </c>
      <c r="G53" s="27" t="str">
        <f aca="false">IF($A53="","",COUNTIFS(Tasks!$F$5:$F$504,$A53,Tasks!$H$5:$H$504,"In Progress"))</f>
        <v/>
      </c>
      <c r="H53" s="27" t="str">
        <f aca="false">IF($A53="","",COUNTIFS(Tasks!$F$5:$F$504,$A53,Tasks!$H$5:$H$504,"Blocked"))</f>
        <v/>
      </c>
      <c r="I53" s="27" t="str">
        <f aca="false">IF($A53="","",COUNTIFS(Tasks!$F$5:$F$504,$A53,Tasks!$M$5:$M$504,"OVERDUE"))</f>
        <v/>
      </c>
      <c r="J53" s="27" t="str">
        <f aca="false">IF($A53="","",COUNTIFS(Tasks!$F$5:$F$504,$A53,Tasks!$H$5:$H$504,"Done"))</f>
        <v/>
      </c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7" t="str">
        <f aca="false">IF($A54="","",COUNTIFS(Tasks!$F$5:$F$504,$A54)-COUNTIFS(Tasks!$F$5:$F$504,$A54,Tasks!$H$5:$H$504,"Done")-COUNTIFS(Tasks!$F$5:$F$504,$A54,Tasks!$H$5:$H$504,"Cancelled"))</f>
        <v/>
      </c>
      <c r="G54" s="27" t="str">
        <f aca="false">IF($A54="","",COUNTIFS(Tasks!$F$5:$F$504,$A54,Tasks!$H$5:$H$504,"In Progress"))</f>
        <v/>
      </c>
      <c r="H54" s="27" t="str">
        <f aca="false">IF($A54="","",COUNTIFS(Tasks!$F$5:$F$504,$A54,Tasks!$H$5:$H$504,"Blocked"))</f>
        <v/>
      </c>
      <c r="I54" s="27" t="str">
        <f aca="false">IF($A54="","",COUNTIFS(Tasks!$F$5:$F$504,$A54,Tasks!$M$5:$M$504,"OVERDUE"))</f>
        <v/>
      </c>
      <c r="J54" s="27" t="str">
        <f aca="false">IF($A54="","",COUNTIFS(Tasks!$F$5:$F$504,$A54,Tasks!$H$5:$H$504,"Done"))</f>
        <v/>
      </c>
    </row>
  </sheetData>
  <autoFilter ref="A4:J54"/>
  <conditionalFormatting sqref="I5:I54">
    <cfRule type="cellIs" priority="2" operator="greaterThan" aboveAverage="0" equalAverage="0" bottom="0" percent="0" rank="0" text="" dxfId="0">
      <formula>0</formula>
    </cfRule>
  </conditionalFormatting>
  <conditionalFormatting sqref="H5:H54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30" hidden="false" customHeight="true" outlineLevel="0" collapsed="false">
      <c r="A4" s="24" t="s">
        <v>204</v>
      </c>
      <c r="B4" s="24" t="s">
        <v>83</v>
      </c>
      <c r="C4" s="24" t="s">
        <v>205</v>
      </c>
      <c r="D4" s="24" t="s">
        <v>206</v>
      </c>
      <c r="E4" s="24" t="s">
        <v>207</v>
      </c>
      <c r="F4" s="24" t="s">
        <v>208</v>
      </c>
      <c r="G4" s="24" t="s">
        <v>209</v>
      </c>
      <c r="H4" s="24" t="s">
        <v>210</v>
      </c>
      <c r="I4" s="24" t="s">
        <v>211</v>
      </c>
      <c r="J4" s="24" t="s">
        <v>140</v>
      </c>
    </row>
    <row r="5" customFormat="false" ht="15" hidden="false" customHeight="false" outlineLevel="0" collapsed="false">
      <c r="A5" s="26" t="n">
        <v>46270</v>
      </c>
      <c r="B5" s="25" t="s">
        <v>99</v>
      </c>
      <c r="C5" s="25" t="s">
        <v>212</v>
      </c>
      <c r="D5" s="25" t="s">
        <v>213</v>
      </c>
      <c r="E5" s="25" t="s">
        <v>214</v>
      </c>
      <c r="F5" s="25" t="s">
        <v>215</v>
      </c>
      <c r="G5" s="25" t="s">
        <v>148</v>
      </c>
      <c r="H5" s="25" t="s">
        <v>216</v>
      </c>
      <c r="I5" s="25" t="s">
        <v>217</v>
      </c>
      <c r="J5" s="25" t="s">
        <v>144</v>
      </c>
    </row>
    <row r="6" customFormat="false" ht="15" hidden="false" customHeight="false" outlineLevel="0" collapsed="false">
      <c r="A6" s="26" t="n">
        <v>46276</v>
      </c>
      <c r="B6" s="25" t="s">
        <v>107</v>
      </c>
      <c r="C6" s="25" t="s">
        <v>218</v>
      </c>
      <c r="D6" s="25" t="s">
        <v>219</v>
      </c>
      <c r="E6" s="25" t="s">
        <v>64</v>
      </c>
      <c r="F6" s="25" t="s">
        <v>220</v>
      </c>
      <c r="G6" s="25" t="s">
        <v>148</v>
      </c>
      <c r="H6" s="25" t="s">
        <v>221</v>
      </c>
      <c r="I6" s="25" t="s">
        <v>217</v>
      </c>
      <c r="J6" s="25" t="s">
        <v>144</v>
      </c>
    </row>
    <row r="7" customFormat="false" ht="23.85" hidden="false" customHeight="false" outlineLevel="0" collapsed="false">
      <c r="A7" s="26" t="n">
        <v>46278</v>
      </c>
      <c r="B7" s="25" t="s">
        <v>99</v>
      </c>
      <c r="C7" s="25" t="s">
        <v>212</v>
      </c>
      <c r="D7" s="25" t="s">
        <v>222</v>
      </c>
      <c r="E7" s="25" t="s">
        <v>214</v>
      </c>
      <c r="F7" s="25" t="s">
        <v>215</v>
      </c>
      <c r="G7" s="25" t="s">
        <v>151</v>
      </c>
      <c r="H7" s="25" t="s">
        <v>223</v>
      </c>
      <c r="I7" s="25" t="s">
        <v>224</v>
      </c>
      <c r="J7" s="25" t="s">
        <v>225</v>
      </c>
    </row>
    <row r="8" customFormat="false" ht="15" hidden="false" customHeight="false" outlineLevel="0" collapsed="false">
      <c r="A8" s="26"/>
      <c r="B8" s="25"/>
      <c r="C8" s="25"/>
      <c r="D8" s="25"/>
      <c r="E8" s="25"/>
      <c r="F8" s="25"/>
      <c r="G8" s="25"/>
      <c r="H8" s="25"/>
      <c r="I8" s="25"/>
      <c r="J8" s="25"/>
    </row>
    <row r="9" customFormat="false" ht="15" hidden="false" customHeight="false" outlineLevel="0" collapsed="false">
      <c r="A9" s="26"/>
      <c r="B9" s="25"/>
      <c r="C9" s="25"/>
      <c r="D9" s="25"/>
      <c r="E9" s="25"/>
      <c r="F9" s="25"/>
      <c r="G9" s="25"/>
      <c r="H9" s="25"/>
      <c r="I9" s="25"/>
      <c r="J9" s="25"/>
    </row>
    <row r="10" customFormat="false" ht="15" hidden="false" customHeight="false" outlineLevel="0" collapsed="false">
      <c r="A10" s="26"/>
      <c r="B10" s="25"/>
      <c r="C10" s="25"/>
      <c r="D10" s="25"/>
      <c r="E10" s="25"/>
      <c r="F10" s="25"/>
      <c r="G10" s="25"/>
      <c r="H10" s="25"/>
      <c r="I10" s="25"/>
      <c r="J10" s="25"/>
    </row>
    <row r="11" customFormat="false" ht="15" hidden="false" customHeight="false" outlineLevel="0" collapsed="false">
      <c r="A11" s="26"/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15" hidden="false" customHeight="false" outlineLevel="0" collapsed="false">
      <c r="A12" s="26"/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false" outlineLevel="0" collapsed="false">
      <c r="A13" s="26"/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15" hidden="false" customHeight="false" outlineLevel="0" collapsed="false">
      <c r="A14" s="26"/>
      <c r="B14" s="25"/>
      <c r="C14" s="25"/>
      <c r="D14" s="25"/>
      <c r="E14" s="25"/>
      <c r="F14" s="25"/>
      <c r="G14" s="25"/>
      <c r="H14" s="25"/>
      <c r="I14" s="25"/>
      <c r="J14" s="25"/>
    </row>
    <row r="15" customFormat="false" ht="15" hidden="false" customHeight="false" outlineLevel="0" collapsed="false">
      <c r="A15" s="26"/>
      <c r="B15" s="25"/>
      <c r="C15" s="25"/>
      <c r="D15" s="25"/>
      <c r="E15" s="25"/>
      <c r="F15" s="25"/>
      <c r="G15" s="25"/>
      <c r="H15" s="25"/>
      <c r="I15" s="25"/>
      <c r="J15" s="25"/>
    </row>
    <row r="16" customFormat="false" ht="15" hidden="false" customHeight="false" outlineLevel="0" collapsed="false">
      <c r="A16" s="26"/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false" outlineLevel="0" collapsed="false">
      <c r="A17" s="26"/>
      <c r="B17" s="25"/>
      <c r="C17" s="25"/>
      <c r="D17" s="25"/>
      <c r="E17" s="25"/>
      <c r="F17" s="25"/>
      <c r="G17" s="25"/>
      <c r="H17" s="25"/>
      <c r="I17" s="25"/>
      <c r="J17" s="25"/>
    </row>
    <row r="18" customFormat="false" ht="15" hidden="false" customHeight="false" outlineLevel="0" collapsed="false">
      <c r="A18" s="26"/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false" outlineLevel="0" collapsed="false">
      <c r="A19" s="26"/>
      <c r="B19" s="25"/>
      <c r="C19" s="25"/>
      <c r="D19" s="25"/>
      <c r="E19" s="25"/>
      <c r="F19" s="25"/>
      <c r="G19" s="25"/>
      <c r="H19" s="25"/>
      <c r="I19" s="25"/>
      <c r="J19" s="25"/>
    </row>
    <row r="20" customFormat="false" ht="15" hidden="false" customHeight="false" outlineLevel="0" collapsed="false">
      <c r="A20" s="26"/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15" hidden="false" customHeight="false" outlineLevel="0" collapsed="false">
      <c r="A21" s="26"/>
      <c r="B21" s="25"/>
      <c r="C21" s="25"/>
      <c r="D21" s="25"/>
      <c r="E21" s="25"/>
      <c r="F21" s="25"/>
      <c r="G21" s="25"/>
      <c r="H21" s="25"/>
      <c r="I21" s="25"/>
      <c r="J21" s="25"/>
    </row>
    <row r="22" customFormat="false" ht="15" hidden="false" customHeight="false" outlineLevel="0" collapsed="false">
      <c r="A22" s="26"/>
      <c r="B22" s="25"/>
      <c r="C22" s="25"/>
      <c r="D22" s="25"/>
      <c r="E22" s="25"/>
      <c r="F22" s="25"/>
      <c r="G22" s="25"/>
      <c r="H22" s="25"/>
      <c r="I22" s="25"/>
      <c r="J22" s="25"/>
    </row>
    <row r="23" customFormat="false" ht="15" hidden="false" customHeight="false" outlineLevel="0" collapsed="false">
      <c r="A23" s="26"/>
      <c r="B23" s="25"/>
      <c r="C23" s="25"/>
      <c r="D23" s="25"/>
      <c r="E23" s="25"/>
      <c r="F23" s="25"/>
      <c r="G23" s="25"/>
      <c r="H23" s="25"/>
      <c r="I23" s="25"/>
      <c r="J23" s="25"/>
    </row>
    <row r="24" customFormat="false" ht="15" hidden="false" customHeight="false" outlineLevel="0" collapsed="false">
      <c r="A24" s="26"/>
      <c r="B24" s="25"/>
      <c r="C24" s="25"/>
      <c r="D24" s="25"/>
      <c r="E24" s="25"/>
      <c r="F24" s="25"/>
      <c r="G24" s="25"/>
      <c r="H24" s="25"/>
      <c r="I24" s="25"/>
      <c r="J24" s="25"/>
    </row>
    <row r="25" customFormat="false" ht="15" hidden="false" customHeight="false" outlineLevel="0" collapsed="false">
      <c r="A25" s="26"/>
      <c r="B25" s="25"/>
      <c r="C25" s="25"/>
      <c r="D25" s="25"/>
      <c r="E25" s="25"/>
      <c r="F25" s="25"/>
      <c r="G25" s="25"/>
      <c r="H25" s="25"/>
      <c r="I25" s="25"/>
      <c r="J25" s="25"/>
    </row>
    <row r="26" customFormat="false" ht="15" hidden="false" customHeight="false" outlineLevel="0" collapsed="false">
      <c r="A26" s="26"/>
      <c r="B26" s="25"/>
      <c r="C26" s="25"/>
      <c r="D26" s="25"/>
      <c r="E26" s="25"/>
      <c r="F26" s="25"/>
      <c r="G26" s="25"/>
      <c r="H26" s="25"/>
      <c r="I26" s="25"/>
      <c r="J26" s="25"/>
    </row>
    <row r="27" customFormat="false" ht="15" hidden="false" customHeight="false" outlineLevel="0" collapsed="false">
      <c r="A27" s="26"/>
      <c r="B27" s="25"/>
      <c r="C27" s="25"/>
      <c r="D27" s="25"/>
      <c r="E27" s="25"/>
      <c r="F27" s="25"/>
      <c r="G27" s="25"/>
      <c r="H27" s="25"/>
      <c r="I27" s="25"/>
      <c r="J27" s="25"/>
    </row>
    <row r="28" customFormat="false" ht="15" hidden="false" customHeight="false" outlineLevel="0" collapsed="false">
      <c r="A28" s="26"/>
      <c r="B28" s="25"/>
      <c r="C28" s="25"/>
      <c r="D28" s="25"/>
      <c r="E28" s="25"/>
      <c r="F28" s="25"/>
      <c r="G28" s="25"/>
      <c r="H28" s="25"/>
      <c r="I28" s="25"/>
      <c r="J28" s="25"/>
    </row>
    <row r="29" customFormat="false" ht="15" hidden="false" customHeight="false" outlineLevel="0" collapsed="false">
      <c r="A29" s="26"/>
      <c r="B29" s="25"/>
      <c r="C29" s="25"/>
      <c r="D29" s="25"/>
      <c r="E29" s="25"/>
      <c r="F29" s="25"/>
      <c r="G29" s="25"/>
      <c r="H29" s="25"/>
      <c r="I29" s="25"/>
      <c r="J29" s="25"/>
    </row>
    <row r="30" customFormat="false" ht="15" hidden="false" customHeight="false" outlineLevel="0" collapsed="false">
      <c r="A30" s="26"/>
      <c r="B30" s="25"/>
      <c r="C30" s="25"/>
      <c r="D30" s="25"/>
      <c r="E30" s="25"/>
      <c r="F30" s="25"/>
      <c r="G30" s="25"/>
      <c r="H30" s="25"/>
      <c r="I30" s="25"/>
      <c r="J30" s="25"/>
    </row>
    <row r="31" customFormat="false" ht="15" hidden="false" customHeight="false" outlineLevel="0" collapsed="false">
      <c r="A31" s="26"/>
      <c r="B31" s="25"/>
      <c r="C31" s="25"/>
      <c r="D31" s="25"/>
      <c r="E31" s="25"/>
      <c r="F31" s="25"/>
      <c r="G31" s="25"/>
      <c r="H31" s="25"/>
      <c r="I31" s="25"/>
      <c r="J31" s="25"/>
    </row>
    <row r="32" customFormat="false" ht="15" hidden="false" customHeight="false" outlineLevel="0" collapsed="false">
      <c r="A32" s="26"/>
      <c r="B32" s="25"/>
      <c r="C32" s="25"/>
      <c r="D32" s="25"/>
      <c r="E32" s="25"/>
      <c r="F32" s="25"/>
      <c r="G32" s="25"/>
      <c r="H32" s="25"/>
      <c r="I32" s="25"/>
      <c r="J32" s="25"/>
    </row>
    <row r="33" customFormat="false" ht="15" hidden="false" customHeight="false" outlineLevel="0" collapsed="false">
      <c r="A33" s="26"/>
      <c r="B33" s="25"/>
      <c r="C33" s="25"/>
      <c r="D33" s="25"/>
      <c r="E33" s="25"/>
      <c r="F33" s="25"/>
      <c r="G33" s="25"/>
      <c r="H33" s="25"/>
      <c r="I33" s="25"/>
      <c r="J33" s="25"/>
    </row>
    <row r="34" customFormat="false" ht="15" hidden="false" customHeight="false" outlineLevel="0" collapsed="false">
      <c r="A34" s="26"/>
      <c r="B34" s="25"/>
      <c r="C34" s="25"/>
      <c r="D34" s="25"/>
      <c r="E34" s="25"/>
      <c r="F34" s="25"/>
      <c r="G34" s="25"/>
      <c r="H34" s="25"/>
      <c r="I34" s="25"/>
      <c r="J34" s="25"/>
    </row>
    <row r="35" customFormat="false" ht="15" hidden="false" customHeight="false" outlineLevel="0" collapsed="false">
      <c r="A35" s="26"/>
      <c r="B35" s="25"/>
      <c r="C35" s="25"/>
      <c r="D35" s="25"/>
      <c r="E35" s="25"/>
      <c r="F35" s="25"/>
      <c r="G35" s="25"/>
      <c r="H35" s="25"/>
      <c r="I35" s="25"/>
      <c r="J35" s="25"/>
    </row>
    <row r="36" customFormat="false" ht="15" hidden="false" customHeight="false" outlineLevel="0" collapsed="false">
      <c r="A36" s="26"/>
      <c r="B36" s="25"/>
      <c r="C36" s="25"/>
      <c r="D36" s="25"/>
      <c r="E36" s="25"/>
      <c r="F36" s="25"/>
      <c r="G36" s="25"/>
      <c r="H36" s="25"/>
      <c r="I36" s="25"/>
      <c r="J36" s="25"/>
    </row>
    <row r="37" customFormat="false" ht="15" hidden="false" customHeight="false" outlineLevel="0" collapsed="false">
      <c r="A37" s="26"/>
      <c r="B37" s="25"/>
      <c r="C37" s="25"/>
      <c r="D37" s="25"/>
      <c r="E37" s="25"/>
      <c r="F37" s="25"/>
      <c r="G37" s="25"/>
      <c r="H37" s="25"/>
      <c r="I37" s="25"/>
      <c r="J37" s="25"/>
    </row>
    <row r="38" customFormat="false" ht="15" hidden="false" customHeight="false" outlineLevel="0" collapsed="false">
      <c r="A38" s="26"/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15" hidden="false" customHeight="false" outlineLevel="0" collapsed="false">
      <c r="A39" s="26"/>
      <c r="B39" s="25"/>
      <c r="C39" s="25"/>
      <c r="D39" s="25"/>
      <c r="E39" s="25"/>
      <c r="F39" s="25"/>
      <c r="G39" s="25"/>
      <c r="H39" s="25"/>
      <c r="I39" s="25"/>
      <c r="J39" s="25"/>
    </row>
    <row r="40" customFormat="false" ht="15" hidden="false" customHeight="false" outlineLevel="0" collapsed="false">
      <c r="A40" s="26"/>
      <c r="B40" s="25"/>
      <c r="C40" s="25"/>
      <c r="D40" s="25"/>
      <c r="E40" s="25"/>
      <c r="F40" s="25"/>
      <c r="G40" s="25"/>
      <c r="H40" s="25"/>
      <c r="I40" s="25"/>
      <c r="J40" s="25"/>
    </row>
    <row r="41" customFormat="false" ht="15" hidden="false" customHeight="false" outlineLevel="0" collapsed="false">
      <c r="A41" s="26"/>
      <c r="B41" s="25"/>
      <c r="C41" s="25"/>
      <c r="D41" s="25"/>
      <c r="E41" s="25"/>
      <c r="F41" s="25"/>
      <c r="G41" s="25"/>
      <c r="H41" s="25"/>
      <c r="I41" s="25"/>
      <c r="J41" s="25"/>
    </row>
    <row r="42" customFormat="false" ht="15" hidden="false" customHeight="false" outlineLevel="0" collapsed="false">
      <c r="A42" s="26"/>
      <c r="B42" s="25"/>
      <c r="C42" s="25"/>
      <c r="D42" s="25"/>
      <c r="E42" s="25"/>
      <c r="F42" s="25"/>
      <c r="G42" s="25"/>
      <c r="H42" s="25"/>
      <c r="I42" s="25"/>
      <c r="J42" s="25"/>
    </row>
    <row r="43" customFormat="false" ht="15" hidden="false" customHeight="false" outlineLevel="0" collapsed="false">
      <c r="A43" s="26"/>
      <c r="B43" s="25"/>
      <c r="C43" s="25"/>
      <c r="D43" s="25"/>
      <c r="E43" s="25"/>
      <c r="F43" s="25"/>
      <c r="G43" s="25"/>
      <c r="H43" s="25"/>
      <c r="I43" s="25"/>
      <c r="J43" s="25"/>
    </row>
    <row r="44" customFormat="false" ht="15" hidden="false" customHeight="false" outlineLevel="0" collapsed="false">
      <c r="A44" s="26"/>
      <c r="B44" s="25"/>
      <c r="C44" s="25"/>
      <c r="D44" s="25"/>
      <c r="E44" s="25"/>
      <c r="F44" s="25"/>
      <c r="G44" s="25"/>
      <c r="H44" s="25"/>
      <c r="I44" s="25"/>
      <c r="J44" s="25"/>
    </row>
    <row r="45" customFormat="false" ht="15" hidden="false" customHeight="false" outlineLevel="0" collapsed="false">
      <c r="A45" s="26"/>
      <c r="B45" s="25"/>
      <c r="C45" s="25"/>
      <c r="D45" s="25"/>
      <c r="E45" s="25"/>
      <c r="F45" s="25"/>
      <c r="G45" s="25"/>
      <c r="H45" s="25"/>
      <c r="I45" s="25"/>
      <c r="J45" s="25"/>
    </row>
    <row r="46" customFormat="false" ht="15" hidden="false" customHeight="false" outlineLevel="0" collapsed="false">
      <c r="A46" s="26"/>
      <c r="B46" s="25"/>
      <c r="C46" s="25"/>
      <c r="D46" s="25"/>
      <c r="E46" s="25"/>
      <c r="F46" s="25"/>
      <c r="G46" s="25"/>
      <c r="H46" s="25"/>
      <c r="I46" s="25"/>
      <c r="J46" s="25"/>
    </row>
    <row r="47" customFormat="false" ht="15" hidden="false" customHeight="false" outlineLevel="0" collapsed="false">
      <c r="A47" s="26"/>
      <c r="B47" s="25"/>
      <c r="C47" s="25"/>
      <c r="D47" s="25"/>
      <c r="E47" s="25"/>
      <c r="F47" s="25"/>
      <c r="G47" s="25"/>
      <c r="H47" s="25"/>
      <c r="I47" s="25"/>
      <c r="J47" s="25"/>
    </row>
    <row r="48" customFormat="false" ht="15" hidden="false" customHeight="false" outlineLevel="0" collapsed="false">
      <c r="A48" s="26"/>
      <c r="B48" s="25"/>
      <c r="C48" s="25"/>
      <c r="D48" s="25"/>
      <c r="E48" s="25"/>
      <c r="F48" s="25"/>
      <c r="G48" s="25"/>
      <c r="H48" s="25"/>
      <c r="I48" s="25"/>
      <c r="J48" s="25"/>
    </row>
    <row r="49" customFormat="false" ht="15" hidden="false" customHeight="false" outlineLevel="0" collapsed="false">
      <c r="A49" s="26"/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/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/>
      <c r="B51" s="25"/>
      <c r="C51" s="25"/>
      <c r="D51" s="25"/>
      <c r="E51" s="25"/>
      <c r="F51" s="25"/>
      <c r="G51" s="25"/>
      <c r="H51" s="25"/>
      <c r="I51" s="25"/>
      <c r="J51" s="25"/>
    </row>
    <row r="52" customFormat="false" ht="15" hidden="false" customHeight="false" outlineLevel="0" collapsed="false">
      <c r="A52" s="26"/>
      <c r="B52" s="25"/>
      <c r="C52" s="25"/>
      <c r="D52" s="25"/>
      <c r="E52" s="25"/>
      <c r="F52" s="25"/>
      <c r="G52" s="25"/>
      <c r="H52" s="25"/>
      <c r="I52" s="25"/>
      <c r="J52" s="25"/>
    </row>
    <row r="53" customFormat="false" ht="15" hidden="false" customHeight="false" outlineLevel="0" collapsed="false">
      <c r="A53" s="26"/>
      <c r="B53" s="25"/>
      <c r="C53" s="25"/>
      <c r="D53" s="25"/>
      <c r="E53" s="25"/>
      <c r="F53" s="25"/>
      <c r="G53" s="25"/>
      <c r="H53" s="25"/>
      <c r="I53" s="25"/>
      <c r="J53" s="25"/>
    </row>
    <row r="54" customFormat="false" ht="15" hidden="false" customHeight="false" outlineLevel="0" collapsed="false">
      <c r="A54" s="26"/>
      <c r="B54" s="25"/>
      <c r="C54" s="25"/>
      <c r="D54" s="25"/>
      <c r="E54" s="25"/>
      <c r="F54" s="25"/>
      <c r="G54" s="25"/>
      <c r="H54" s="25"/>
      <c r="I54" s="25"/>
      <c r="J54" s="25"/>
    </row>
    <row r="55" customFormat="false" ht="15" hidden="false" customHeight="false" outlineLevel="0" collapsed="false">
      <c r="A55" s="26"/>
      <c r="B55" s="25"/>
      <c r="C55" s="25"/>
      <c r="D55" s="25"/>
      <c r="E55" s="25"/>
      <c r="F55" s="25"/>
      <c r="G55" s="25"/>
      <c r="H55" s="25"/>
      <c r="I55" s="25"/>
      <c r="J55" s="25"/>
    </row>
    <row r="56" customFormat="false" ht="15" hidden="false" customHeight="false" outlineLevel="0" collapsed="false">
      <c r="A56" s="26"/>
      <c r="B56" s="25"/>
      <c r="C56" s="25"/>
      <c r="D56" s="25"/>
      <c r="E56" s="25"/>
      <c r="F56" s="25"/>
      <c r="G56" s="25"/>
      <c r="H56" s="25"/>
      <c r="I56" s="25"/>
      <c r="J56" s="25"/>
    </row>
    <row r="57" customFormat="false" ht="15" hidden="false" customHeight="false" outlineLevel="0" collapsed="false">
      <c r="A57" s="26"/>
      <c r="B57" s="25"/>
      <c r="C57" s="25"/>
      <c r="D57" s="25"/>
      <c r="E57" s="25"/>
      <c r="F57" s="25"/>
      <c r="G57" s="25"/>
      <c r="H57" s="25"/>
      <c r="I57" s="25"/>
      <c r="J57" s="25"/>
    </row>
    <row r="58" customFormat="false" ht="15" hidden="false" customHeight="false" outlineLevel="0" collapsed="false">
      <c r="A58" s="26"/>
      <c r="B58" s="25"/>
      <c r="C58" s="25"/>
      <c r="D58" s="25"/>
      <c r="E58" s="25"/>
      <c r="F58" s="25"/>
      <c r="G58" s="25"/>
      <c r="H58" s="25"/>
      <c r="I58" s="25"/>
      <c r="J58" s="25"/>
    </row>
    <row r="59" customFormat="false" ht="15" hidden="false" customHeight="false" outlineLevel="0" collapsed="false">
      <c r="A59" s="26"/>
      <c r="B59" s="25"/>
      <c r="C59" s="25"/>
      <c r="D59" s="25"/>
      <c r="E59" s="25"/>
      <c r="F59" s="25"/>
      <c r="G59" s="25"/>
      <c r="H59" s="25"/>
      <c r="I59" s="25"/>
      <c r="J59" s="25"/>
    </row>
    <row r="60" customFormat="false" ht="15" hidden="false" customHeight="false" outlineLevel="0" collapsed="false">
      <c r="A60" s="26"/>
      <c r="B60" s="25"/>
      <c r="C60" s="25"/>
      <c r="D60" s="25"/>
      <c r="E60" s="25"/>
      <c r="F60" s="25"/>
      <c r="G60" s="25"/>
      <c r="H60" s="25"/>
      <c r="I60" s="25"/>
      <c r="J60" s="25"/>
    </row>
    <row r="61" customFormat="false" ht="15" hidden="false" customHeight="false" outlineLevel="0" collapsed="false">
      <c r="A61" s="26"/>
      <c r="B61" s="25"/>
      <c r="C61" s="25"/>
      <c r="D61" s="25"/>
      <c r="E61" s="25"/>
      <c r="F61" s="25"/>
      <c r="G61" s="25"/>
      <c r="H61" s="25"/>
      <c r="I61" s="25"/>
      <c r="J61" s="25"/>
    </row>
    <row r="62" customFormat="false" ht="15" hidden="false" customHeight="false" outlineLevel="0" collapsed="false">
      <c r="A62" s="26"/>
      <c r="B62" s="25"/>
      <c r="C62" s="25"/>
      <c r="D62" s="25"/>
      <c r="E62" s="25"/>
      <c r="F62" s="25"/>
      <c r="G62" s="25"/>
      <c r="H62" s="25"/>
      <c r="I62" s="25"/>
      <c r="J62" s="25"/>
    </row>
    <row r="63" customFormat="false" ht="15" hidden="false" customHeight="false" outlineLevel="0" collapsed="false">
      <c r="A63" s="26"/>
      <c r="B63" s="25"/>
      <c r="C63" s="25"/>
      <c r="D63" s="25"/>
      <c r="E63" s="25"/>
      <c r="F63" s="25"/>
      <c r="G63" s="25"/>
      <c r="H63" s="25"/>
      <c r="I63" s="25"/>
      <c r="J63" s="25"/>
    </row>
    <row r="64" customFormat="false" ht="15" hidden="false" customHeight="false" outlineLevel="0" collapsed="false">
      <c r="A64" s="26"/>
      <c r="B64" s="25"/>
      <c r="C64" s="25"/>
      <c r="D64" s="25"/>
      <c r="E64" s="25"/>
      <c r="F64" s="25"/>
      <c r="G64" s="25"/>
      <c r="H64" s="25"/>
      <c r="I64" s="25"/>
      <c r="J64" s="25"/>
    </row>
    <row r="65" customFormat="false" ht="15" hidden="false" customHeight="false" outlineLevel="0" collapsed="false">
      <c r="A65" s="26"/>
      <c r="B65" s="25"/>
      <c r="C65" s="25"/>
      <c r="D65" s="25"/>
      <c r="E65" s="25"/>
      <c r="F65" s="25"/>
      <c r="G65" s="25"/>
      <c r="H65" s="25"/>
      <c r="I65" s="25"/>
      <c r="J65" s="25"/>
    </row>
    <row r="66" customFormat="false" ht="15" hidden="false" customHeight="false" outlineLevel="0" collapsed="false">
      <c r="A66" s="26"/>
      <c r="B66" s="25"/>
      <c r="C66" s="25"/>
      <c r="D66" s="25"/>
      <c r="E66" s="25"/>
      <c r="F66" s="25"/>
      <c r="G66" s="25"/>
      <c r="H66" s="25"/>
      <c r="I66" s="25"/>
      <c r="J66" s="25"/>
    </row>
    <row r="67" customFormat="false" ht="15" hidden="false" customHeight="false" outlineLevel="0" collapsed="false">
      <c r="A67" s="26"/>
      <c r="B67" s="25"/>
      <c r="C67" s="25"/>
      <c r="D67" s="25"/>
      <c r="E67" s="25"/>
      <c r="F67" s="25"/>
      <c r="G67" s="25"/>
      <c r="H67" s="25"/>
      <c r="I67" s="25"/>
      <c r="J67" s="25"/>
    </row>
    <row r="68" customFormat="false" ht="15" hidden="false" customHeight="false" outlineLevel="0" collapsed="false">
      <c r="A68" s="26"/>
      <c r="B68" s="25"/>
      <c r="C68" s="25"/>
      <c r="D68" s="25"/>
      <c r="E68" s="25"/>
      <c r="F68" s="25"/>
      <c r="G68" s="25"/>
      <c r="H68" s="25"/>
      <c r="I68" s="25"/>
      <c r="J68" s="25"/>
    </row>
    <row r="69" customFormat="false" ht="15" hidden="false" customHeight="false" outlineLevel="0" collapsed="false">
      <c r="A69" s="26"/>
      <c r="B69" s="25"/>
      <c r="C69" s="25"/>
      <c r="D69" s="25"/>
      <c r="E69" s="25"/>
      <c r="F69" s="25"/>
      <c r="G69" s="25"/>
      <c r="H69" s="25"/>
      <c r="I69" s="25"/>
      <c r="J69" s="25"/>
    </row>
    <row r="70" customFormat="false" ht="15" hidden="false" customHeight="false" outlineLevel="0" collapsed="false">
      <c r="A70" s="26"/>
      <c r="B70" s="25"/>
      <c r="C70" s="25"/>
      <c r="D70" s="25"/>
      <c r="E70" s="25"/>
      <c r="F70" s="25"/>
      <c r="G70" s="25"/>
      <c r="H70" s="25"/>
      <c r="I70" s="25"/>
      <c r="J70" s="25"/>
    </row>
    <row r="71" customFormat="false" ht="15" hidden="false" customHeight="false" outlineLevel="0" collapsed="false">
      <c r="A71" s="26"/>
      <c r="B71" s="25"/>
      <c r="C71" s="25"/>
      <c r="D71" s="25"/>
      <c r="E71" s="25"/>
      <c r="F71" s="25"/>
      <c r="G71" s="25"/>
      <c r="H71" s="25"/>
      <c r="I71" s="25"/>
      <c r="J71" s="25"/>
    </row>
    <row r="72" customFormat="false" ht="15" hidden="false" customHeight="false" outlineLevel="0" collapsed="false">
      <c r="A72" s="26"/>
      <c r="B72" s="25"/>
      <c r="C72" s="25"/>
      <c r="D72" s="25"/>
      <c r="E72" s="25"/>
      <c r="F72" s="25"/>
      <c r="G72" s="25"/>
      <c r="H72" s="25"/>
      <c r="I72" s="25"/>
      <c r="J72" s="25"/>
    </row>
    <row r="73" customFormat="false" ht="15" hidden="false" customHeight="false" outlineLevel="0" collapsed="false">
      <c r="A73" s="26"/>
      <c r="B73" s="25"/>
      <c r="C73" s="25"/>
      <c r="D73" s="25"/>
      <c r="E73" s="25"/>
      <c r="F73" s="25"/>
      <c r="G73" s="25"/>
      <c r="H73" s="25"/>
      <c r="I73" s="25"/>
      <c r="J73" s="25"/>
    </row>
    <row r="74" customFormat="false" ht="15" hidden="false" customHeight="false" outlineLevel="0" collapsed="false">
      <c r="A74" s="26"/>
      <c r="B74" s="25"/>
      <c r="C74" s="25"/>
      <c r="D74" s="25"/>
      <c r="E74" s="25"/>
      <c r="F74" s="25"/>
      <c r="G74" s="25"/>
      <c r="H74" s="25"/>
      <c r="I74" s="25"/>
      <c r="J74" s="25"/>
    </row>
    <row r="75" customFormat="false" ht="15" hidden="false" customHeight="false" outlineLevel="0" collapsed="false">
      <c r="A75" s="26"/>
      <c r="B75" s="25"/>
      <c r="C75" s="25"/>
      <c r="D75" s="25"/>
      <c r="E75" s="25"/>
      <c r="F75" s="25"/>
      <c r="G75" s="25"/>
      <c r="H75" s="25"/>
      <c r="I75" s="25"/>
      <c r="J75" s="25"/>
    </row>
    <row r="76" customFormat="false" ht="15" hidden="false" customHeight="false" outlineLevel="0" collapsed="false">
      <c r="A76" s="26"/>
      <c r="B76" s="25"/>
      <c r="C76" s="25"/>
      <c r="D76" s="25"/>
      <c r="E76" s="25"/>
      <c r="F76" s="25"/>
      <c r="G76" s="25"/>
      <c r="H76" s="25"/>
      <c r="I76" s="25"/>
      <c r="J76" s="25"/>
    </row>
    <row r="77" customFormat="false" ht="15" hidden="false" customHeight="false" outlineLevel="0" collapsed="false">
      <c r="A77" s="26"/>
      <c r="B77" s="25"/>
      <c r="C77" s="25"/>
      <c r="D77" s="25"/>
      <c r="E77" s="25"/>
      <c r="F77" s="25"/>
      <c r="G77" s="25"/>
      <c r="H77" s="25"/>
      <c r="I77" s="25"/>
      <c r="J77" s="25"/>
    </row>
    <row r="78" customFormat="false" ht="15" hidden="false" customHeight="false" outlineLevel="0" collapsed="false">
      <c r="A78" s="26"/>
      <c r="B78" s="25"/>
      <c r="C78" s="25"/>
      <c r="D78" s="25"/>
      <c r="E78" s="25"/>
      <c r="F78" s="25"/>
      <c r="G78" s="25"/>
      <c r="H78" s="25"/>
      <c r="I78" s="25"/>
      <c r="J78" s="25"/>
    </row>
    <row r="79" customFormat="false" ht="15" hidden="false" customHeight="false" outlineLevel="0" collapsed="false">
      <c r="A79" s="26"/>
      <c r="B79" s="25"/>
      <c r="C79" s="25"/>
      <c r="D79" s="25"/>
      <c r="E79" s="25"/>
      <c r="F79" s="25"/>
      <c r="G79" s="25"/>
      <c r="H79" s="25"/>
      <c r="I79" s="25"/>
      <c r="J79" s="25"/>
    </row>
    <row r="80" customFormat="false" ht="15" hidden="false" customHeight="false" outlineLevel="0" collapsed="false">
      <c r="A80" s="26"/>
      <c r="B80" s="25"/>
      <c r="C80" s="25"/>
      <c r="D80" s="25"/>
      <c r="E80" s="25"/>
      <c r="F80" s="25"/>
      <c r="G80" s="25"/>
      <c r="H80" s="25"/>
      <c r="I80" s="25"/>
      <c r="J80" s="25"/>
    </row>
    <row r="81" customFormat="false" ht="15" hidden="false" customHeight="false" outlineLevel="0" collapsed="false">
      <c r="A81" s="26"/>
      <c r="B81" s="25"/>
      <c r="C81" s="25"/>
      <c r="D81" s="25"/>
      <c r="E81" s="25"/>
      <c r="F81" s="25"/>
      <c r="G81" s="25"/>
      <c r="H81" s="25"/>
      <c r="I81" s="25"/>
      <c r="J81" s="25"/>
    </row>
    <row r="82" customFormat="false" ht="15" hidden="false" customHeight="false" outlineLevel="0" collapsed="false">
      <c r="A82" s="26"/>
      <c r="B82" s="25"/>
      <c r="C82" s="25"/>
      <c r="D82" s="25"/>
      <c r="E82" s="25"/>
      <c r="F82" s="25"/>
      <c r="G82" s="25"/>
      <c r="H82" s="25"/>
      <c r="I82" s="25"/>
      <c r="J82" s="25"/>
    </row>
    <row r="83" customFormat="false" ht="15" hidden="false" customHeight="false" outlineLevel="0" collapsed="false">
      <c r="A83" s="26"/>
      <c r="B83" s="25"/>
      <c r="C83" s="25"/>
      <c r="D83" s="25"/>
      <c r="E83" s="25"/>
      <c r="F83" s="25"/>
      <c r="G83" s="25"/>
      <c r="H83" s="25"/>
      <c r="I83" s="25"/>
      <c r="J83" s="25"/>
    </row>
    <row r="84" customFormat="false" ht="15" hidden="false" customHeight="false" outlineLevel="0" collapsed="false">
      <c r="A84" s="26"/>
      <c r="B84" s="25"/>
      <c r="C84" s="25"/>
      <c r="D84" s="25"/>
      <c r="E84" s="25"/>
      <c r="F84" s="25"/>
      <c r="G84" s="25"/>
      <c r="H84" s="25"/>
      <c r="I84" s="25"/>
      <c r="J84" s="25"/>
    </row>
    <row r="85" customFormat="false" ht="15" hidden="false" customHeight="false" outlineLevel="0" collapsed="false">
      <c r="A85" s="26"/>
      <c r="B85" s="25"/>
      <c r="C85" s="25"/>
      <c r="D85" s="25"/>
      <c r="E85" s="25"/>
      <c r="F85" s="25"/>
      <c r="G85" s="25"/>
      <c r="H85" s="25"/>
      <c r="I85" s="25"/>
      <c r="J85" s="25"/>
    </row>
    <row r="86" customFormat="false" ht="15" hidden="false" customHeight="false" outlineLevel="0" collapsed="false">
      <c r="A86" s="26"/>
      <c r="B86" s="25"/>
      <c r="C86" s="25"/>
      <c r="D86" s="25"/>
      <c r="E86" s="25"/>
      <c r="F86" s="25"/>
      <c r="G86" s="25"/>
      <c r="H86" s="25"/>
      <c r="I86" s="25"/>
      <c r="J86" s="25"/>
    </row>
    <row r="87" customFormat="false" ht="15" hidden="false" customHeight="false" outlineLevel="0" collapsed="false">
      <c r="A87" s="26"/>
      <c r="B87" s="25"/>
      <c r="C87" s="25"/>
      <c r="D87" s="25"/>
      <c r="E87" s="25"/>
      <c r="F87" s="25"/>
      <c r="G87" s="25"/>
      <c r="H87" s="25"/>
      <c r="I87" s="25"/>
      <c r="J87" s="25"/>
    </row>
    <row r="88" customFormat="false" ht="15" hidden="false" customHeight="false" outlineLevel="0" collapsed="false">
      <c r="A88" s="26"/>
      <c r="B88" s="25"/>
      <c r="C88" s="25"/>
      <c r="D88" s="25"/>
      <c r="E88" s="25"/>
      <c r="F88" s="25"/>
      <c r="G88" s="25"/>
      <c r="H88" s="25"/>
      <c r="I88" s="25"/>
      <c r="J88" s="25"/>
    </row>
    <row r="89" customFormat="false" ht="15" hidden="false" customHeight="false" outlineLevel="0" collapsed="false">
      <c r="A89" s="26"/>
      <c r="B89" s="25"/>
      <c r="C89" s="25"/>
      <c r="D89" s="25"/>
      <c r="E89" s="25"/>
      <c r="F89" s="25"/>
      <c r="G89" s="25"/>
      <c r="H89" s="25"/>
      <c r="I89" s="25"/>
      <c r="J89" s="25"/>
    </row>
    <row r="90" customFormat="false" ht="15" hidden="false" customHeight="false" outlineLevel="0" collapsed="false">
      <c r="A90" s="26"/>
      <c r="B90" s="25"/>
      <c r="C90" s="25"/>
      <c r="D90" s="25"/>
      <c r="E90" s="25"/>
      <c r="F90" s="25"/>
      <c r="G90" s="25"/>
      <c r="H90" s="25"/>
      <c r="I90" s="25"/>
      <c r="J90" s="25"/>
    </row>
    <row r="91" customFormat="false" ht="15" hidden="false" customHeight="false" outlineLevel="0" collapsed="false">
      <c r="A91" s="26"/>
      <c r="B91" s="25"/>
      <c r="C91" s="25"/>
      <c r="D91" s="25"/>
      <c r="E91" s="25"/>
      <c r="F91" s="25"/>
      <c r="G91" s="25"/>
      <c r="H91" s="25"/>
      <c r="I91" s="25"/>
      <c r="J91" s="25"/>
    </row>
    <row r="92" customFormat="false" ht="15" hidden="false" customHeight="false" outlineLevel="0" collapsed="false">
      <c r="A92" s="26"/>
      <c r="B92" s="25"/>
      <c r="C92" s="25"/>
      <c r="D92" s="25"/>
      <c r="E92" s="25"/>
      <c r="F92" s="25"/>
      <c r="G92" s="25"/>
      <c r="H92" s="25"/>
      <c r="I92" s="25"/>
      <c r="J92" s="25"/>
    </row>
    <row r="93" customFormat="false" ht="15" hidden="false" customHeight="false" outlineLevel="0" collapsed="false">
      <c r="A93" s="26"/>
      <c r="B93" s="25"/>
      <c r="C93" s="25"/>
      <c r="D93" s="25"/>
      <c r="E93" s="25"/>
      <c r="F93" s="25"/>
      <c r="G93" s="25"/>
      <c r="H93" s="25"/>
      <c r="I93" s="25"/>
      <c r="J93" s="25"/>
    </row>
    <row r="94" customFormat="false" ht="15" hidden="false" customHeight="false" outlineLevel="0" collapsed="false">
      <c r="A94" s="26"/>
      <c r="B94" s="25"/>
      <c r="C94" s="25"/>
      <c r="D94" s="25"/>
      <c r="E94" s="25"/>
      <c r="F94" s="25"/>
      <c r="G94" s="25"/>
      <c r="H94" s="25"/>
      <c r="I94" s="25"/>
      <c r="J94" s="25"/>
    </row>
    <row r="95" customFormat="false" ht="15" hidden="false" customHeight="false" outlineLevel="0" collapsed="false">
      <c r="A95" s="26"/>
      <c r="B95" s="25"/>
      <c r="C95" s="25"/>
      <c r="D95" s="25"/>
      <c r="E95" s="25"/>
      <c r="F95" s="25"/>
      <c r="G95" s="25"/>
      <c r="H95" s="25"/>
      <c r="I95" s="25"/>
      <c r="J95" s="25"/>
    </row>
    <row r="96" customFormat="false" ht="15" hidden="false" customHeight="false" outlineLevel="0" collapsed="false">
      <c r="A96" s="26"/>
      <c r="B96" s="25"/>
      <c r="C96" s="25"/>
      <c r="D96" s="25"/>
      <c r="E96" s="25"/>
      <c r="F96" s="25"/>
      <c r="G96" s="25"/>
      <c r="H96" s="25"/>
      <c r="I96" s="25"/>
      <c r="J96" s="25"/>
    </row>
    <row r="97" customFormat="false" ht="15" hidden="false" customHeight="false" outlineLevel="0" collapsed="false">
      <c r="A97" s="26"/>
      <c r="B97" s="25"/>
      <c r="C97" s="25"/>
      <c r="D97" s="25"/>
      <c r="E97" s="25"/>
      <c r="F97" s="25"/>
      <c r="G97" s="25"/>
      <c r="H97" s="25"/>
      <c r="I97" s="25"/>
      <c r="J97" s="25"/>
    </row>
    <row r="98" customFormat="false" ht="15" hidden="false" customHeight="false" outlineLevel="0" collapsed="false">
      <c r="A98" s="26"/>
      <c r="B98" s="25"/>
      <c r="C98" s="25"/>
      <c r="D98" s="25"/>
      <c r="E98" s="25"/>
      <c r="F98" s="25"/>
      <c r="G98" s="25"/>
      <c r="H98" s="25"/>
      <c r="I98" s="25"/>
      <c r="J98" s="25"/>
    </row>
    <row r="99" customFormat="false" ht="15" hidden="false" customHeight="false" outlineLevel="0" collapsed="false">
      <c r="A99" s="26"/>
      <c r="B99" s="25"/>
      <c r="C99" s="25"/>
      <c r="D99" s="25"/>
      <c r="E99" s="25"/>
      <c r="F99" s="25"/>
      <c r="G99" s="25"/>
      <c r="H99" s="25"/>
      <c r="I99" s="25"/>
      <c r="J99" s="25"/>
    </row>
    <row r="100" customFormat="false" ht="15" hidden="false" customHeight="false" outlineLevel="0" collapsed="false">
      <c r="A100" s="26"/>
      <c r="B100" s="25"/>
      <c r="C100" s="25"/>
      <c r="D100" s="25"/>
      <c r="E100" s="25"/>
      <c r="F100" s="25"/>
      <c r="G100" s="25"/>
      <c r="H100" s="25"/>
      <c r="I100" s="25"/>
      <c r="J100" s="25"/>
    </row>
    <row r="101" customFormat="false" ht="15" hidden="false" customHeight="false" outlineLevel="0" collapsed="false">
      <c r="A101" s="26"/>
      <c r="B101" s="25"/>
      <c r="C101" s="25"/>
      <c r="D101" s="25"/>
      <c r="E101" s="25"/>
      <c r="F101" s="25"/>
      <c r="G101" s="25"/>
      <c r="H101" s="25"/>
      <c r="I101" s="25"/>
      <c r="J101" s="25"/>
    </row>
    <row r="102" customFormat="false" ht="15" hidden="false" customHeight="false" outlineLevel="0" collapsed="false">
      <c r="A102" s="26"/>
      <c r="B102" s="25"/>
      <c r="C102" s="25"/>
      <c r="D102" s="25"/>
      <c r="E102" s="25"/>
      <c r="F102" s="25"/>
      <c r="G102" s="25"/>
      <c r="H102" s="25"/>
      <c r="I102" s="25"/>
      <c r="J102" s="25"/>
    </row>
    <row r="103" customFormat="false" ht="15" hidden="false" customHeight="false" outlineLevel="0" collapsed="false">
      <c r="A103" s="26"/>
      <c r="B103" s="25"/>
      <c r="C103" s="25"/>
      <c r="D103" s="25"/>
      <c r="E103" s="25"/>
      <c r="F103" s="25"/>
      <c r="G103" s="25"/>
      <c r="H103" s="25"/>
      <c r="I103" s="25"/>
      <c r="J103" s="25"/>
    </row>
    <row r="104" customFormat="false" ht="15" hidden="false" customHeight="false" outlineLevel="0" collapsed="false">
      <c r="A104" s="26"/>
      <c r="B104" s="25"/>
      <c r="C104" s="25"/>
      <c r="D104" s="25"/>
      <c r="E104" s="25"/>
      <c r="F104" s="25"/>
      <c r="G104" s="25"/>
      <c r="H104" s="25"/>
      <c r="I104" s="25"/>
      <c r="J104" s="25"/>
    </row>
    <row r="105" customFormat="false" ht="15" hidden="false" customHeight="false" outlineLevel="0" collapsed="false">
      <c r="A105" s="26"/>
      <c r="B105" s="25"/>
      <c r="C105" s="25"/>
      <c r="D105" s="25"/>
      <c r="E105" s="25"/>
      <c r="F105" s="25"/>
      <c r="G105" s="25"/>
      <c r="H105" s="25"/>
      <c r="I105" s="25"/>
      <c r="J105" s="25"/>
    </row>
    <row r="106" customFormat="false" ht="15" hidden="false" customHeight="false" outlineLevel="0" collapsed="false">
      <c r="A106" s="26"/>
      <c r="B106" s="25"/>
      <c r="C106" s="25"/>
      <c r="D106" s="25"/>
      <c r="E106" s="25"/>
      <c r="F106" s="25"/>
      <c r="G106" s="25"/>
      <c r="H106" s="25"/>
      <c r="I106" s="25"/>
      <c r="J106" s="25"/>
    </row>
    <row r="107" customFormat="false" ht="15" hidden="false" customHeight="false" outlineLevel="0" collapsed="false">
      <c r="A107" s="26"/>
      <c r="B107" s="25"/>
      <c r="C107" s="25"/>
      <c r="D107" s="25"/>
      <c r="E107" s="25"/>
      <c r="F107" s="25"/>
      <c r="G107" s="25"/>
      <c r="H107" s="25"/>
      <c r="I107" s="25"/>
      <c r="J107" s="25"/>
    </row>
    <row r="108" customFormat="false" ht="15" hidden="false" customHeight="false" outlineLevel="0" collapsed="false">
      <c r="A108" s="26"/>
      <c r="B108" s="25"/>
      <c r="C108" s="25"/>
      <c r="D108" s="25"/>
      <c r="E108" s="25"/>
      <c r="F108" s="25"/>
      <c r="G108" s="25"/>
      <c r="H108" s="25"/>
      <c r="I108" s="25"/>
      <c r="J108" s="25"/>
    </row>
    <row r="109" customFormat="false" ht="15" hidden="false" customHeight="false" outlineLevel="0" collapsed="false">
      <c r="A109" s="26"/>
      <c r="B109" s="25"/>
      <c r="C109" s="25"/>
      <c r="D109" s="25"/>
      <c r="E109" s="25"/>
      <c r="F109" s="25"/>
      <c r="G109" s="25"/>
      <c r="H109" s="25"/>
      <c r="I109" s="25"/>
      <c r="J109" s="25"/>
    </row>
    <row r="110" customFormat="false" ht="15" hidden="false" customHeight="false" outlineLevel="0" collapsed="false">
      <c r="A110" s="26"/>
      <c r="B110" s="25"/>
      <c r="C110" s="25"/>
      <c r="D110" s="25"/>
      <c r="E110" s="25"/>
      <c r="F110" s="25"/>
      <c r="G110" s="25"/>
      <c r="H110" s="25"/>
      <c r="I110" s="25"/>
      <c r="J110" s="25"/>
    </row>
    <row r="111" customFormat="false" ht="15" hidden="false" customHeight="false" outlineLevel="0" collapsed="false">
      <c r="A111" s="26"/>
      <c r="B111" s="25"/>
      <c r="C111" s="25"/>
      <c r="D111" s="25"/>
      <c r="E111" s="25"/>
      <c r="F111" s="25"/>
      <c r="G111" s="25"/>
      <c r="H111" s="25"/>
      <c r="I111" s="25"/>
      <c r="J111" s="25"/>
    </row>
    <row r="112" customFormat="false" ht="15" hidden="false" customHeight="false" outlineLevel="0" collapsed="false">
      <c r="A112" s="26"/>
      <c r="B112" s="25"/>
      <c r="C112" s="25"/>
      <c r="D112" s="25"/>
      <c r="E112" s="25"/>
      <c r="F112" s="25"/>
      <c r="G112" s="25"/>
      <c r="H112" s="25"/>
      <c r="I112" s="25"/>
      <c r="J112" s="25"/>
    </row>
    <row r="113" customFormat="false" ht="15" hidden="false" customHeight="false" outlineLevel="0" collapsed="false">
      <c r="A113" s="26"/>
      <c r="B113" s="25"/>
      <c r="C113" s="25"/>
      <c r="D113" s="25"/>
      <c r="E113" s="25"/>
      <c r="F113" s="25"/>
      <c r="G113" s="25"/>
      <c r="H113" s="25"/>
      <c r="I113" s="25"/>
      <c r="J113" s="25"/>
    </row>
    <row r="114" customFormat="false" ht="15" hidden="false" customHeight="false" outlineLevel="0" collapsed="false">
      <c r="A114" s="26"/>
      <c r="B114" s="25"/>
      <c r="C114" s="25"/>
      <c r="D114" s="25"/>
      <c r="E114" s="25"/>
      <c r="F114" s="25"/>
      <c r="G114" s="25"/>
      <c r="H114" s="25"/>
      <c r="I114" s="25"/>
      <c r="J114" s="25"/>
    </row>
    <row r="115" customFormat="false" ht="15" hidden="false" customHeight="false" outlineLevel="0" collapsed="false">
      <c r="A115" s="26"/>
      <c r="B115" s="25"/>
      <c r="C115" s="25"/>
      <c r="D115" s="25"/>
      <c r="E115" s="25"/>
      <c r="F115" s="25"/>
      <c r="G115" s="25"/>
      <c r="H115" s="25"/>
      <c r="I115" s="25"/>
      <c r="J115" s="25"/>
    </row>
    <row r="116" customFormat="false" ht="15" hidden="false" customHeight="false" outlineLevel="0" collapsed="false">
      <c r="A116" s="26"/>
      <c r="B116" s="25"/>
      <c r="C116" s="25"/>
      <c r="D116" s="25"/>
      <c r="E116" s="25"/>
      <c r="F116" s="25"/>
      <c r="G116" s="25"/>
      <c r="H116" s="25"/>
      <c r="I116" s="25"/>
      <c r="J116" s="25"/>
    </row>
    <row r="117" customFormat="false" ht="15" hidden="false" customHeight="false" outlineLevel="0" collapsed="false">
      <c r="A117" s="26"/>
      <c r="B117" s="25"/>
      <c r="C117" s="25"/>
      <c r="D117" s="25"/>
      <c r="E117" s="25"/>
      <c r="F117" s="25"/>
      <c r="G117" s="25"/>
      <c r="H117" s="25"/>
      <c r="I117" s="25"/>
      <c r="J117" s="25"/>
    </row>
    <row r="118" customFormat="false" ht="15" hidden="false" customHeight="false" outlineLevel="0" collapsed="false">
      <c r="A118" s="26"/>
      <c r="B118" s="25"/>
      <c r="C118" s="25"/>
      <c r="D118" s="25"/>
      <c r="E118" s="25"/>
      <c r="F118" s="25"/>
      <c r="G118" s="25"/>
      <c r="H118" s="25"/>
      <c r="I118" s="25"/>
      <c r="J118" s="25"/>
    </row>
    <row r="119" customFormat="false" ht="15" hidden="false" customHeight="false" outlineLevel="0" collapsed="false">
      <c r="A119" s="26"/>
      <c r="B119" s="25"/>
      <c r="C119" s="25"/>
      <c r="D119" s="25"/>
      <c r="E119" s="25"/>
      <c r="F119" s="25"/>
      <c r="G119" s="25"/>
      <c r="H119" s="25"/>
      <c r="I119" s="25"/>
      <c r="J119" s="25"/>
    </row>
    <row r="120" customFormat="false" ht="15" hidden="false" customHeight="false" outlineLevel="0" collapsed="false">
      <c r="A120" s="26"/>
      <c r="B120" s="25"/>
      <c r="C120" s="25"/>
      <c r="D120" s="25"/>
      <c r="E120" s="25"/>
      <c r="F120" s="25"/>
      <c r="G120" s="25"/>
      <c r="H120" s="25"/>
      <c r="I120" s="25"/>
      <c r="J120" s="25"/>
    </row>
    <row r="121" customFormat="false" ht="15" hidden="false" customHeight="false" outlineLevel="0" collapsed="false">
      <c r="A121" s="26"/>
      <c r="B121" s="25"/>
      <c r="C121" s="25"/>
      <c r="D121" s="25"/>
      <c r="E121" s="25"/>
      <c r="F121" s="25"/>
      <c r="G121" s="25"/>
      <c r="H121" s="25"/>
      <c r="I121" s="25"/>
      <c r="J121" s="25"/>
    </row>
    <row r="122" customFormat="false" ht="15" hidden="false" customHeight="false" outlineLevel="0" collapsed="false">
      <c r="A122" s="26"/>
      <c r="B122" s="25"/>
      <c r="C122" s="25"/>
      <c r="D122" s="25"/>
      <c r="E122" s="25"/>
      <c r="F122" s="25"/>
      <c r="G122" s="25"/>
      <c r="H122" s="25"/>
      <c r="I122" s="25"/>
      <c r="J122" s="25"/>
    </row>
    <row r="123" customFormat="false" ht="15" hidden="false" customHeight="false" outlineLevel="0" collapsed="false">
      <c r="A123" s="26"/>
      <c r="B123" s="25"/>
      <c r="C123" s="25"/>
      <c r="D123" s="25"/>
      <c r="E123" s="25"/>
      <c r="F123" s="25"/>
      <c r="G123" s="25"/>
      <c r="H123" s="25"/>
      <c r="I123" s="25"/>
      <c r="J123" s="25"/>
    </row>
    <row r="124" customFormat="false" ht="15" hidden="false" customHeight="false" outlineLevel="0" collapsed="false">
      <c r="A124" s="26"/>
      <c r="B124" s="25"/>
      <c r="C124" s="25"/>
      <c r="D124" s="25"/>
      <c r="E124" s="25"/>
      <c r="F124" s="25"/>
      <c r="G124" s="25"/>
      <c r="H124" s="25"/>
      <c r="I124" s="25"/>
      <c r="J124" s="25"/>
    </row>
    <row r="125" customFormat="false" ht="15" hidden="false" customHeight="false" outlineLevel="0" collapsed="false">
      <c r="A125" s="26"/>
      <c r="B125" s="25"/>
      <c r="C125" s="25"/>
      <c r="D125" s="25"/>
      <c r="E125" s="25"/>
      <c r="F125" s="25"/>
      <c r="G125" s="25"/>
      <c r="H125" s="25"/>
      <c r="I125" s="25"/>
      <c r="J125" s="25"/>
    </row>
    <row r="126" customFormat="false" ht="15" hidden="false" customHeight="false" outlineLevel="0" collapsed="false">
      <c r="A126" s="26"/>
      <c r="B126" s="25"/>
      <c r="C126" s="25"/>
      <c r="D126" s="25"/>
      <c r="E126" s="25"/>
      <c r="F126" s="25"/>
      <c r="G126" s="25"/>
      <c r="H126" s="25"/>
      <c r="I126" s="25"/>
      <c r="J126" s="25"/>
    </row>
    <row r="127" customFormat="false" ht="15" hidden="false" customHeight="false" outlineLevel="0" collapsed="false">
      <c r="A127" s="26"/>
      <c r="B127" s="25"/>
      <c r="C127" s="25"/>
      <c r="D127" s="25"/>
      <c r="E127" s="25"/>
      <c r="F127" s="25"/>
      <c r="G127" s="25"/>
      <c r="H127" s="25"/>
      <c r="I127" s="25"/>
      <c r="J127" s="25"/>
    </row>
    <row r="128" customFormat="false" ht="15" hidden="false" customHeight="false" outlineLevel="0" collapsed="false">
      <c r="A128" s="26"/>
      <c r="B128" s="25"/>
      <c r="C128" s="25"/>
      <c r="D128" s="25"/>
      <c r="E128" s="25"/>
      <c r="F128" s="25"/>
      <c r="G128" s="25"/>
      <c r="H128" s="25"/>
      <c r="I128" s="25"/>
      <c r="J128" s="25"/>
    </row>
    <row r="129" customFormat="false" ht="15" hidden="false" customHeight="false" outlineLevel="0" collapsed="false">
      <c r="A129" s="26"/>
      <c r="B129" s="25"/>
      <c r="C129" s="25"/>
      <c r="D129" s="25"/>
      <c r="E129" s="25"/>
      <c r="F129" s="25"/>
      <c r="G129" s="25"/>
      <c r="H129" s="25"/>
      <c r="I129" s="25"/>
      <c r="J129" s="25"/>
    </row>
    <row r="130" customFormat="false" ht="15" hidden="false" customHeight="false" outlineLevel="0" collapsed="false">
      <c r="A130" s="26"/>
      <c r="B130" s="25"/>
      <c r="C130" s="25"/>
      <c r="D130" s="25"/>
      <c r="E130" s="25"/>
      <c r="F130" s="25"/>
      <c r="G130" s="25"/>
      <c r="H130" s="25"/>
      <c r="I130" s="25"/>
      <c r="J130" s="25"/>
    </row>
    <row r="131" customFormat="false" ht="15" hidden="false" customHeight="false" outlineLevel="0" collapsed="false">
      <c r="A131" s="26"/>
      <c r="B131" s="25"/>
      <c r="C131" s="25"/>
      <c r="D131" s="25"/>
      <c r="E131" s="25"/>
      <c r="F131" s="25"/>
      <c r="G131" s="25"/>
      <c r="H131" s="25"/>
      <c r="I131" s="25"/>
      <c r="J131" s="25"/>
    </row>
    <row r="132" customFormat="false" ht="15" hidden="false" customHeight="false" outlineLevel="0" collapsed="false">
      <c r="A132" s="26"/>
      <c r="B132" s="25"/>
      <c r="C132" s="25"/>
      <c r="D132" s="25"/>
      <c r="E132" s="25"/>
      <c r="F132" s="25"/>
      <c r="G132" s="25"/>
      <c r="H132" s="25"/>
      <c r="I132" s="25"/>
      <c r="J132" s="25"/>
    </row>
    <row r="133" customFormat="false" ht="15" hidden="false" customHeight="false" outlineLevel="0" collapsed="false">
      <c r="A133" s="26"/>
      <c r="B133" s="25"/>
      <c r="C133" s="25"/>
      <c r="D133" s="25"/>
      <c r="E133" s="25"/>
      <c r="F133" s="25"/>
      <c r="G133" s="25"/>
      <c r="H133" s="25"/>
      <c r="I133" s="25"/>
      <c r="J133" s="25"/>
    </row>
    <row r="134" customFormat="false" ht="15" hidden="false" customHeight="false" outlineLevel="0" collapsed="false">
      <c r="A134" s="26"/>
      <c r="B134" s="25"/>
      <c r="C134" s="25"/>
      <c r="D134" s="25"/>
      <c r="E134" s="25"/>
      <c r="F134" s="25"/>
      <c r="G134" s="25"/>
      <c r="H134" s="25"/>
      <c r="I134" s="25"/>
      <c r="J134" s="25"/>
    </row>
    <row r="135" customFormat="false" ht="15" hidden="false" customHeight="false" outlineLevel="0" collapsed="false">
      <c r="A135" s="26"/>
      <c r="B135" s="25"/>
      <c r="C135" s="25"/>
      <c r="D135" s="25"/>
      <c r="E135" s="25"/>
      <c r="F135" s="25"/>
      <c r="G135" s="25"/>
      <c r="H135" s="25"/>
      <c r="I135" s="25"/>
      <c r="J135" s="25"/>
    </row>
    <row r="136" customFormat="false" ht="15" hidden="false" customHeight="false" outlineLevel="0" collapsed="false">
      <c r="A136" s="26"/>
      <c r="B136" s="25"/>
      <c r="C136" s="25"/>
      <c r="D136" s="25"/>
      <c r="E136" s="25"/>
      <c r="F136" s="25"/>
      <c r="G136" s="25"/>
      <c r="H136" s="25"/>
      <c r="I136" s="25"/>
      <c r="J136" s="25"/>
    </row>
    <row r="137" customFormat="false" ht="15" hidden="false" customHeight="false" outlineLevel="0" collapsed="false">
      <c r="A137" s="26"/>
      <c r="B137" s="25"/>
      <c r="C137" s="25"/>
      <c r="D137" s="25"/>
      <c r="E137" s="25"/>
      <c r="F137" s="25"/>
      <c r="G137" s="25"/>
      <c r="H137" s="25"/>
      <c r="I137" s="25"/>
      <c r="J137" s="25"/>
    </row>
    <row r="138" customFormat="false" ht="15" hidden="false" customHeight="false" outlineLevel="0" collapsed="false">
      <c r="A138" s="26"/>
      <c r="B138" s="25"/>
      <c r="C138" s="25"/>
      <c r="D138" s="25"/>
      <c r="E138" s="25"/>
      <c r="F138" s="25"/>
      <c r="G138" s="25"/>
      <c r="H138" s="25"/>
      <c r="I138" s="25"/>
      <c r="J138" s="25"/>
    </row>
    <row r="139" customFormat="false" ht="15" hidden="false" customHeight="false" outlineLevel="0" collapsed="false">
      <c r="A139" s="26"/>
      <c r="B139" s="25"/>
      <c r="C139" s="25"/>
      <c r="D139" s="25"/>
      <c r="E139" s="25"/>
      <c r="F139" s="25"/>
      <c r="G139" s="25"/>
      <c r="H139" s="25"/>
      <c r="I139" s="25"/>
      <c r="J139" s="25"/>
    </row>
    <row r="140" customFormat="false" ht="15" hidden="false" customHeight="false" outlineLevel="0" collapsed="false">
      <c r="A140" s="26"/>
      <c r="B140" s="25"/>
      <c r="C140" s="25"/>
      <c r="D140" s="25"/>
      <c r="E140" s="25"/>
      <c r="F140" s="25"/>
      <c r="G140" s="25"/>
      <c r="H140" s="25"/>
      <c r="I140" s="25"/>
      <c r="J140" s="25"/>
    </row>
    <row r="141" customFormat="false" ht="15" hidden="false" customHeight="false" outlineLevel="0" collapsed="false">
      <c r="A141" s="26"/>
      <c r="B141" s="25"/>
      <c r="C141" s="25"/>
      <c r="D141" s="25"/>
      <c r="E141" s="25"/>
      <c r="F141" s="25"/>
      <c r="G141" s="25"/>
      <c r="H141" s="25"/>
      <c r="I141" s="25"/>
      <c r="J141" s="25"/>
    </row>
    <row r="142" customFormat="false" ht="15" hidden="false" customHeight="false" outlineLevel="0" collapsed="false">
      <c r="A142" s="26"/>
      <c r="B142" s="25"/>
      <c r="C142" s="25"/>
      <c r="D142" s="25"/>
      <c r="E142" s="25"/>
      <c r="F142" s="25"/>
      <c r="G142" s="25"/>
      <c r="H142" s="25"/>
      <c r="I142" s="25"/>
      <c r="J142" s="25"/>
    </row>
    <row r="143" customFormat="false" ht="15" hidden="false" customHeight="false" outlineLevel="0" collapsed="false">
      <c r="A143" s="26"/>
      <c r="B143" s="25"/>
      <c r="C143" s="25"/>
      <c r="D143" s="25"/>
      <c r="E143" s="25"/>
      <c r="F143" s="25"/>
      <c r="G143" s="25"/>
      <c r="H143" s="25"/>
      <c r="I143" s="25"/>
      <c r="J143" s="25"/>
    </row>
    <row r="144" customFormat="false" ht="15" hidden="false" customHeight="false" outlineLevel="0" collapsed="false">
      <c r="A144" s="26"/>
      <c r="B144" s="25"/>
      <c r="C144" s="25"/>
      <c r="D144" s="25"/>
      <c r="E144" s="25"/>
      <c r="F144" s="25"/>
      <c r="G144" s="25"/>
      <c r="H144" s="25"/>
      <c r="I144" s="25"/>
      <c r="J144" s="25"/>
    </row>
    <row r="145" customFormat="false" ht="15" hidden="false" customHeight="false" outlineLevel="0" collapsed="false">
      <c r="A145" s="26"/>
      <c r="B145" s="25"/>
      <c r="C145" s="25"/>
      <c r="D145" s="25"/>
      <c r="E145" s="25"/>
      <c r="F145" s="25"/>
      <c r="G145" s="25"/>
      <c r="H145" s="25"/>
      <c r="I145" s="25"/>
      <c r="J145" s="25"/>
    </row>
    <row r="146" customFormat="false" ht="15" hidden="false" customHeight="false" outlineLevel="0" collapsed="false">
      <c r="A146" s="26"/>
      <c r="B146" s="25"/>
      <c r="C146" s="25"/>
      <c r="D146" s="25"/>
      <c r="E146" s="25"/>
      <c r="F146" s="25"/>
      <c r="G146" s="25"/>
      <c r="H146" s="25"/>
      <c r="I146" s="25"/>
      <c r="J146" s="25"/>
    </row>
    <row r="147" customFormat="false" ht="15" hidden="false" customHeight="false" outlineLevel="0" collapsed="false">
      <c r="A147" s="26"/>
      <c r="B147" s="25"/>
      <c r="C147" s="25"/>
      <c r="D147" s="25"/>
      <c r="E147" s="25"/>
      <c r="F147" s="25"/>
      <c r="G147" s="25"/>
      <c r="H147" s="25"/>
      <c r="I147" s="25"/>
      <c r="J147" s="25"/>
    </row>
    <row r="148" customFormat="false" ht="15" hidden="false" customHeight="false" outlineLevel="0" collapsed="false">
      <c r="A148" s="26"/>
      <c r="B148" s="25"/>
      <c r="C148" s="25"/>
      <c r="D148" s="25"/>
      <c r="E148" s="25"/>
      <c r="F148" s="25"/>
      <c r="G148" s="25"/>
      <c r="H148" s="25"/>
      <c r="I148" s="25"/>
      <c r="J148" s="25"/>
    </row>
    <row r="149" customFormat="false" ht="15" hidden="false" customHeight="false" outlineLevel="0" collapsed="false">
      <c r="A149" s="26"/>
      <c r="B149" s="25"/>
      <c r="C149" s="25"/>
      <c r="D149" s="25"/>
      <c r="E149" s="25"/>
      <c r="F149" s="25"/>
      <c r="G149" s="25"/>
      <c r="H149" s="25"/>
      <c r="I149" s="25"/>
      <c r="J149" s="25"/>
    </row>
    <row r="150" customFormat="false" ht="15" hidden="false" customHeight="false" outlineLevel="0" collapsed="false">
      <c r="A150" s="26"/>
      <c r="B150" s="25"/>
      <c r="C150" s="25"/>
      <c r="D150" s="25"/>
      <c r="E150" s="25"/>
      <c r="F150" s="25"/>
      <c r="G150" s="25"/>
      <c r="H150" s="25"/>
      <c r="I150" s="25"/>
      <c r="J150" s="25"/>
    </row>
    <row r="151" customFormat="false" ht="15" hidden="false" customHeight="false" outlineLevel="0" collapsed="false">
      <c r="A151" s="26"/>
      <c r="B151" s="25"/>
      <c r="C151" s="25"/>
      <c r="D151" s="25"/>
      <c r="E151" s="25"/>
      <c r="F151" s="25"/>
      <c r="G151" s="25"/>
      <c r="H151" s="25"/>
      <c r="I151" s="25"/>
      <c r="J151" s="25"/>
    </row>
    <row r="152" customFormat="false" ht="15" hidden="false" customHeight="false" outlineLevel="0" collapsed="false">
      <c r="A152" s="26"/>
      <c r="B152" s="25"/>
      <c r="C152" s="25"/>
      <c r="D152" s="25"/>
      <c r="E152" s="25"/>
      <c r="F152" s="25"/>
      <c r="G152" s="25"/>
      <c r="H152" s="25"/>
      <c r="I152" s="25"/>
      <c r="J152" s="25"/>
    </row>
    <row r="153" customFormat="false" ht="15" hidden="false" customHeight="false" outlineLevel="0" collapsed="false">
      <c r="A153" s="26"/>
      <c r="B153" s="25"/>
      <c r="C153" s="25"/>
      <c r="D153" s="25"/>
      <c r="E153" s="25"/>
      <c r="F153" s="25"/>
      <c r="G153" s="25"/>
      <c r="H153" s="25"/>
      <c r="I153" s="25"/>
      <c r="J153" s="25"/>
    </row>
    <row r="154" customFormat="false" ht="15" hidden="false" customHeight="false" outlineLevel="0" collapsed="false">
      <c r="A154" s="26"/>
      <c r="B154" s="25"/>
      <c r="C154" s="25"/>
      <c r="D154" s="25"/>
      <c r="E154" s="25"/>
      <c r="F154" s="25"/>
      <c r="G154" s="25"/>
      <c r="H154" s="25"/>
      <c r="I154" s="25"/>
      <c r="J154" s="25"/>
    </row>
    <row r="155" customFormat="false" ht="15" hidden="false" customHeight="false" outlineLevel="0" collapsed="false">
      <c r="A155" s="26"/>
      <c r="B155" s="25"/>
      <c r="C155" s="25"/>
      <c r="D155" s="25"/>
      <c r="E155" s="25"/>
      <c r="F155" s="25"/>
      <c r="G155" s="25"/>
      <c r="H155" s="25"/>
      <c r="I155" s="25"/>
      <c r="J155" s="25"/>
    </row>
    <row r="156" customFormat="false" ht="15" hidden="false" customHeight="false" outlineLevel="0" collapsed="false">
      <c r="A156" s="26"/>
      <c r="B156" s="25"/>
      <c r="C156" s="25"/>
      <c r="D156" s="25"/>
      <c r="E156" s="25"/>
      <c r="F156" s="25"/>
      <c r="G156" s="25"/>
      <c r="H156" s="25"/>
      <c r="I156" s="25"/>
      <c r="J156" s="25"/>
    </row>
    <row r="157" customFormat="false" ht="15" hidden="false" customHeight="false" outlineLevel="0" collapsed="false">
      <c r="A157" s="26"/>
      <c r="B157" s="25"/>
      <c r="C157" s="25"/>
      <c r="D157" s="25"/>
      <c r="E157" s="25"/>
      <c r="F157" s="25"/>
      <c r="G157" s="25"/>
      <c r="H157" s="25"/>
      <c r="I157" s="25"/>
      <c r="J157" s="25"/>
    </row>
    <row r="158" customFormat="false" ht="15" hidden="false" customHeight="false" outlineLevel="0" collapsed="false">
      <c r="A158" s="26"/>
      <c r="B158" s="25"/>
      <c r="C158" s="25"/>
      <c r="D158" s="25"/>
      <c r="E158" s="25"/>
      <c r="F158" s="25"/>
      <c r="G158" s="25"/>
      <c r="H158" s="25"/>
      <c r="I158" s="25"/>
      <c r="J158" s="25"/>
    </row>
    <row r="159" customFormat="false" ht="15" hidden="false" customHeight="false" outlineLevel="0" collapsed="false">
      <c r="A159" s="26"/>
      <c r="B159" s="25"/>
      <c r="C159" s="25"/>
      <c r="D159" s="25"/>
      <c r="E159" s="25"/>
      <c r="F159" s="25"/>
      <c r="G159" s="25"/>
      <c r="H159" s="25"/>
      <c r="I159" s="25"/>
      <c r="J159" s="25"/>
    </row>
    <row r="160" customFormat="false" ht="15" hidden="false" customHeight="false" outlineLevel="0" collapsed="false">
      <c r="A160" s="26"/>
      <c r="B160" s="25"/>
      <c r="C160" s="25"/>
      <c r="D160" s="25"/>
      <c r="E160" s="25"/>
      <c r="F160" s="25"/>
      <c r="G160" s="25"/>
      <c r="H160" s="25"/>
      <c r="I160" s="25"/>
      <c r="J160" s="25"/>
    </row>
    <row r="161" customFormat="false" ht="15" hidden="false" customHeight="false" outlineLevel="0" collapsed="false">
      <c r="A161" s="26"/>
      <c r="B161" s="25"/>
      <c r="C161" s="25"/>
      <c r="D161" s="25"/>
      <c r="E161" s="25"/>
      <c r="F161" s="25"/>
      <c r="G161" s="25"/>
      <c r="H161" s="25"/>
      <c r="I161" s="25"/>
      <c r="J161" s="25"/>
    </row>
    <row r="162" customFormat="false" ht="15" hidden="false" customHeight="false" outlineLevel="0" collapsed="false">
      <c r="A162" s="26"/>
      <c r="B162" s="25"/>
      <c r="C162" s="25"/>
      <c r="D162" s="25"/>
      <c r="E162" s="25"/>
      <c r="F162" s="25"/>
      <c r="G162" s="25"/>
      <c r="H162" s="25"/>
      <c r="I162" s="25"/>
      <c r="J162" s="25"/>
    </row>
    <row r="163" customFormat="false" ht="15" hidden="false" customHeight="false" outlineLevel="0" collapsed="false">
      <c r="A163" s="26"/>
      <c r="B163" s="25"/>
      <c r="C163" s="25"/>
      <c r="D163" s="25"/>
      <c r="E163" s="25"/>
      <c r="F163" s="25"/>
      <c r="G163" s="25"/>
      <c r="H163" s="25"/>
      <c r="I163" s="25"/>
      <c r="J163" s="25"/>
    </row>
    <row r="164" customFormat="false" ht="15" hidden="false" customHeight="false" outlineLevel="0" collapsed="false">
      <c r="A164" s="26"/>
      <c r="B164" s="25"/>
      <c r="C164" s="25"/>
      <c r="D164" s="25"/>
      <c r="E164" s="25"/>
      <c r="F164" s="25"/>
      <c r="G164" s="25"/>
      <c r="H164" s="25"/>
      <c r="I164" s="25"/>
      <c r="J164" s="25"/>
    </row>
    <row r="165" customFormat="false" ht="15" hidden="false" customHeight="false" outlineLevel="0" collapsed="false">
      <c r="A165" s="26"/>
      <c r="B165" s="25"/>
      <c r="C165" s="25"/>
      <c r="D165" s="25"/>
      <c r="E165" s="25"/>
      <c r="F165" s="25"/>
      <c r="G165" s="25"/>
      <c r="H165" s="25"/>
      <c r="I165" s="25"/>
      <c r="J165" s="25"/>
    </row>
    <row r="166" customFormat="false" ht="15" hidden="false" customHeight="false" outlineLevel="0" collapsed="false">
      <c r="A166" s="26"/>
      <c r="B166" s="25"/>
      <c r="C166" s="25"/>
      <c r="D166" s="25"/>
      <c r="E166" s="25"/>
      <c r="F166" s="25"/>
      <c r="G166" s="25"/>
      <c r="H166" s="25"/>
      <c r="I166" s="25"/>
      <c r="J166" s="25"/>
    </row>
    <row r="167" customFormat="false" ht="15" hidden="false" customHeight="false" outlineLevel="0" collapsed="false">
      <c r="A167" s="26"/>
      <c r="B167" s="25"/>
      <c r="C167" s="25"/>
      <c r="D167" s="25"/>
      <c r="E167" s="25"/>
      <c r="F167" s="25"/>
      <c r="G167" s="25"/>
      <c r="H167" s="25"/>
      <c r="I167" s="25"/>
      <c r="J167" s="25"/>
    </row>
    <row r="168" customFormat="false" ht="15" hidden="false" customHeight="false" outlineLevel="0" collapsed="false">
      <c r="A168" s="26"/>
      <c r="B168" s="25"/>
      <c r="C168" s="25"/>
      <c r="D168" s="25"/>
      <c r="E168" s="25"/>
      <c r="F168" s="25"/>
      <c r="G168" s="25"/>
      <c r="H168" s="25"/>
      <c r="I168" s="25"/>
      <c r="J168" s="25"/>
    </row>
    <row r="169" customFormat="false" ht="15" hidden="false" customHeight="false" outlineLevel="0" collapsed="false">
      <c r="A169" s="26"/>
      <c r="B169" s="25"/>
      <c r="C169" s="25"/>
      <c r="D169" s="25"/>
      <c r="E169" s="25"/>
      <c r="F169" s="25"/>
      <c r="G169" s="25"/>
      <c r="H169" s="25"/>
      <c r="I169" s="25"/>
      <c r="J169" s="25"/>
    </row>
    <row r="170" customFormat="false" ht="15" hidden="false" customHeight="false" outlineLevel="0" collapsed="false">
      <c r="A170" s="26"/>
      <c r="B170" s="25"/>
      <c r="C170" s="25"/>
      <c r="D170" s="25"/>
      <c r="E170" s="25"/>
      <c r="F170" s="25"/>
      <c r="G170" s="25"/>
      <c r="H170" s="25"/>
      <c r="I170" s="25"/>
      <c r="J170" s="25"/>
    </row>
    <row r="171" customFormat="false" ht="15" hidden="false" customHeight="false" outlineLevel="0" collapsed="false">
      <c r="A171" s="26"/>
      <c r="B171" s="25"/>
      <c r="C171" s="25"/>
      <c r="D171" s="25"/>
      <c r="E171" s="25"/>
      <c r="F171" s="25"/>
      <c r="G171" s="25"/>
      <c r="H171" s="25"/>
      <c r="I171" s="25"/>
      <c r="J171" s="25"/>
    </row>
    <row r="172" customFormat="false" ht="15" hidden="false" customHeight="false" outlineLevel="0" collapsed="false">
      <c r="A172" s="26"/>
      <c r="B172" s="25"/>
      <c r="C172" s="25"/>
      <c r="D172" s="25"/>
      <c r="E172" s="25"/>
      <c r="F172" s="25"/>
      <c r="G172" s="25"/>
      <c r="H172" s="25"/>
      <c r="I172" s="25"/>
      <c r="J172" s="25"/>
    </row>
    <row r="173" customFormat="false" ht="15" hidden="false" customHeight="false" outlineLevel="0" collapsed="false">
      <c r="A173" s="26"/>
      <c r="B173" s="25"/>
      <c r="C173" s="25"/>
      <c r="D173" s="25"/>
      <c r="E173" s="25"/>
      <c r="F173" s="25"/>
      <c r="G173" s="25"/>
      <c r="H173" s="25"/>
      <c r="I173" s="25"/>
      <c r="J173" s="25"/>
    </row>
    <row r="174" customFormat="false" ht="15" hidden="false" customHeight="false" outlineLevel="0" collapsed="false">
      <c r="A174" s="26"/>
      <c r="B174" s="25"/>
      <c r="C174" s="25"/>
      <c r="D174" s="25"/>
      <c r="E174" s="25"/>
      <c r="F174" s="25"/>
      <c r="G174" s="25"/>
      <c r="H174" s="25"/>
      <c r="I174" s="25"/>
      <c r="J174" s="25"/>
    </row>
    <row r="175" customFormat="false" ht="15" hidden="false" customHeight="false" outlineLevel="0" collapsed="false">
      <c r="A175" s="26"/>
      <c r="B175" s="25"/>
      <c r="C175" s="25"/>
      <c r="D175" s="25"/>
      <c r="E175" s="25"/>
      <c r="F175" s="25"/>
      <c r="G175" s="25"/>
      <c r="H175" s="25"/>
      <c r="I175" s="25"/>
      <c r="J175" s="25"/>
    </row>
    <row r="176" customFormat="false" ht="15" hidden="false" customHeight="false" outlineLevel="0" collapsed="false">
      <c r="A176" s="26"/>
      <c r="B176" s="25"/>
      <c r="C176" s="25"/>
      <c r="D176" s="25"/>
      <c r="E176" s="25"/>
      <c r="F176" s="25"/>
      <c r="G176" s="25"/>
      <c r="H176" s="25"/>
      <c r="I176" s="25"/>
      <c r="J176" s="25"/>
    </row>
    <row r="177" customFormat="false" ht="15" hidden="false" customHeight="false" outlineLevel="0" collapsed="false">
      <c r="A177" s="26"/>
      <c r="B177" s="25"/>
      <c r="C177" s="25"/>
      <c r="D177" s="25"/>
      <c r="E177" s="25"/>
      <c r="F177" s="25"/>
      <c r="G177" s="25"/>
      <c r="H177" s="25"/>
      <c r="I177" s="25"/>
      <c r="J177" s="25"/>
    </row>
    <row r="178" customFormat="false" ht="15" hidden="false" customHeight="false" outlineLevel="0" collapsed="false">
      <c r="A178" s="26"/>
      <c r="B178" s="25"/>
      <c r="C178" s="25"/>
      <c r="D178" s="25"/>
      <c r="E178" s="25"/>
      <c r="F178" s="25"/>
      <c r="G178" s="25"/>
      <c r="H178" s="25"/>
      <c r="I178" s="25"/>
      <c r="J178" s="25"/>
    </row>
    <row r="179" customFormat="false" ht="15" hidden="false" customHeight="false" outlineLevel="0" collapsed="false">
      <c r="A179" s="26"/>
      <c r="B179" s="25"/>
      <c r="C179" s="25"/>
      <c r="D179" s="25"/>
      <c r="E179" s="25"/>
      <c r="F179" s="25"/>
      <c r="G179" s="25"/>
      <c r="H179" s="25"/>
      <c r="I179" s="25"/>
      <c r="J179" s="25"/>
    </row>
    <row r="180" customFormat="false" ht="15" hidden="false" customHeight="false" outlineLevel="0" collapsed="false">
      <c r="A180" s="26"/>
      <c r="B180" s="25"/>
      <c r="C180" s="25"/>
      <c r="D180" s="25"/>
      <c r="E180" s="25"/>
      <c r="F180" s="25"/>
      <c r="G180" s="25"/>
      <c r="H180" s="25"/>
      <c r="I180" s="25"/>
      <c r="J180" s="25"/>
    </row>
    <row r="181" customFormat="false" ht="15" hidden="false" customHeight="false" outlineLevel="0" collapsed="false">
      <c r="A181" s="26"/>
      <c r="B181" s="25"/>
      <c r="C181" s="25"/>
      <c r="D181" s="25"/>
      <c r="E181" s="25"/>
      <c r="F181" s="25"/>
      <c r="G181" s="25"/>
      <c r="H181" s="25"/>
      <c r="I181" s="25"/>
      <c r="J181" s="25"/>
    </row>
    <row r="182" customFormat="false" ht="15" hidden="false" customHeight="false" outlineLevel="0" collapsed="false">
      <c r="A182" s="26"/>
      <c r="B182" s="25"/>
      <c r="C182" s="25"/>
      <c r="D182" s="25"/>
      <c r="E182" s="25"/>
      <c r="F182" s="25"/>
      <c r="G182" s="25"/>
      <c r="H182" s="25"/>
      <c r="I182" s="25"/>
      <c r="J182" s="25"/>
    </row>
    <row r="183" customFormat="false" ht="15" hidden="false" customHeight="false" outlineLevel="0" collapsed="false">
      <c r="A183" s="26"/>
      <c r="B183" s="25"/>
      <c r="C183" s="25"/>
      <c r="D183" s="25"/>
      <c r="E183" s="25"/>
      <c r="F183" s="25"/>
      <c r="G183" s="25"/>
      <c r="H183" s="25"/>
      <c r="I183" s="25"/>
      <c r="J183" s="25"/>
    </row>
    <row r="184" customFormat="false" ht="15" hidden="false" customHeight="false" outlineLevel="0" collapsed="false">
      <c r="A184" s="26"/>
      <c r="B184" s="25"/>
      <c r="C184" s="25"/>
      <c r="D184" s="25"/>
      <c r="E184" s="25"/>
      <c r="F184" s="25"/>
      <c r="G184" s="25"/>
      <c r="H184" s="25"/>
      <c r="I184" s="25"/>
      <c r="J184" s="25"/>
    </row>
    <row r="185" customFormat="false" ht="15" hidden="false" customHeight="false" outlineLevel="0" collapsed="false">
      <c r="A185" s="26"/>
      <c r="B185" s="25"/>
      <c r="C185" s="25"/>
      <c r="D185" s="25"/>
      <c r="E185" s="25"/>
      <c r="F185" s="25"/>
      <c r="G185" s="25"/>
      <c r="H185" s="25"/>
      <c r="I185" s="25"/>
      <c r="J185" s="25"/>
    </row>
    <row r="186" customFormat="false" ht="15" hidden="false" customHeight="false" outlineLevel="0" collapsed="false">
      <c r="A186" s="26"/>
      <c r="B186" s="25"/>
      <c r="C186" s="25"/>
      <c r="D186" s="25"/>
      <c r="E186" s="25"/>
      <c r="F186" s="25"/>
      <c r="G186" s="25"/>
      <c r="H186" s="25"/>
      <c r="I186" s="25"/>
      <c r="J186" s="25"/>
    </row>
    <row r="187" customFormat="false" ht="15" hidden="false" customHeight="false" outlineLevel="0" collapsed="false">
      <c r="A187" s="26"/>
      <c r="B187" s="25"/>
      <c r="C187" s="25"/>
      <c r="D187" s="25"/>
      <c r="E187" s="25"/>
      <c r="F187" s="25"/>
      <c r="G187" s="25"/>
      <c r="H187" s="25"/>
      <c r="I187" s="25"/>
      <c r="J187" s="25"/>
    </row>
    <row r="188" customFormat="false" ht="15" hidden="false" customHeight="false" outlineLevel="0" collapsed="false">
      <c r="A188" s="26"/>
      <c r="B188" s="25"/>
      <c r="C188" s="25"/>
      <c r="D188" s="25"/>
      <c r="E188" s="25"/>
      <c r="F188" s="25"/>
      <c r="G188" s="25"/>
      <c r="H188" s="25"/>
      <c r="I188" s="25"/>
      <c r="J188" s="25"/>
    </row>
    <row r="189" customFormat="false" ht="15" hidden="false" customHeight="false" outlineLevel="0" collapsed="false">
      <c r="A189" s="26"/>
      <c r="B189" s="25"/>
      <c r="C189" s="25"/>
      <c r="D189" s="25"/>
      <c r="E189" s="25"/>
      <c r="F189" s="25"/>
      <c r="G189" s="25"/>
      <c r="H189" s="25"/>
      <c r="I189" s="25"/>
      <c r="J189" s="25"/>
    </row>
    <row r="190" customFormat="false" ht="15" hidden="false" customHeight="false" outlineLevel="0" collapsed="false">
      <c r="A190" s="26"/>
      <c r="B190" s="25"/>
      <c r="C190" s="25"/>
      <c r="D190" s="25"/>
      <c r="E190" s="25"/>
      <c r="F190" s="25"/>
      <c r="G190" s="25"/>
      <c r="H190" s="25"/>
      <c r="I190" s="25"/>
      <c r="J190" s="25"/>
    </row>
    <row r="191" customFormat="false" ht="15" hidden="false" customHeight="false" outlineLevel="0" collapsed="false">
      <c r="A191" s="26"/>
      <c r="B191" s="25"/>
      <c r="C191" s="25"/>
      <c r="D191" s="25"/>
      <c r="E191" s="25"/>
      <c r="F191" s="25"/>
      <c r="G191" s="25"/>
      <c r="H191" s="25"/>
      <c r="I191" s="25"/>
      <c r="J191" s="25"/>
    </row>
    <row r="192" customFormat="false" ht="15" hidden="false" customHeight="false" outlineLevel="0" collapsed="false">
      <c r="A192" s="26"/>
      <c r="B192" s="25"/>
      <c r="C192" s="25"/>
      <c r="D192" s="25"/>
      <c r="E192" s="25"/>
      <c r="F192" s="25"/>
      <c r="G192" s="25"/>
      <c r="H192" s="25"/>
      <c r="I192" s="25"/>
      <c r="J192" s="25"/>
    </row>
    <row r="193" customFormat="false" ht="15" hidden="false" customHeight="false" outlineLevel="0" collapsed="false">
      <c r="A193" s="26"/>
      <c r="B193" s="25"/>
      <c r="C193" s="25"/>
      <c r="D193" s="25"/>
      <c r="E193" s="25"/>
      <c r="F193" s="25"/>
      <c r="G193" s="25"/>
      <c r="H193" s="25"/>
      <c r="I193" s="25"/>
      <c r="J193" s="25"/>
    </row>
    <row r="194" customFormat="false" ht="15" hidden="false" customHeight="false" outlineLevel="0" collapsed="false">
      <c r="A194" s="26"/>
      <c r="B194" s="25"/>
      <c r="C194" s="25"/>
      <c r="D194" s="25"/>
      <c r="E194" s="25"/>
      <c r="F194" s="25"/>
      <c r="G194" s="25"/>
      <c r="H194" s="25"/>
      <c r="I194" s="25"/>
      <c r="J194" s="25"/>
    </row>
    <row r="195" customFormat="false" ht="15" hidden="false" customHeight="false" outlineLevel="0" collapsed="false">
      <c r="A195" s="26"/>
      <c r="B195" s="25"/>
      <c r="C195" s="25"/>
      <c r="D195" s="25"/>
      <c r="E195" s="25"/>
      <c r="F195" s="25"/>
      <c r="G195" s="25"/>
      <c r="H195" s="25"/>
      <c r="I195" s="25"/>
      <c r="J195" s="25"/>
    </row>
    <row r="196" customFormat="false" ht="15" hidden="false" customHeight="false" outlineLevel="0" collapsed="false">
      <c r="A196" s="26"/>
      <c r="B196" s="25"/>
      <c r="C196" s="25"/>
      <c r="D196" s="25"/>
      <c r="E196" s="25"/>
      <c r="F196" s="25"/>
      <c r="G196" s="25"/>
      <c r="H196" s="25"/>
      <c r="I196" s="25"/>
      <c r="J196" s="25"/>
    </row>
    <row r="197" customFormat="false" ht="15" hidden="false" customHeight="false" outlineLevel="0" collapsed="false">
      <c r="A197" s="26"/>
      <c r="B197" s="25"/>
      <c r="C197" s="25"/>
      <c r="D197" s="25"/>
      <c r="E197" s="25"/>
      <c r="F197" s="25"/>
      <c r="G197" s="25"/>
      <c r="H197" s="25"/>
      <c r="I197" s="25"/>
      <c r="J197" s="25"/>
    </row>
    <row r="198" customFormat="false" ht="15" hidden="false" customHeight="false" outlineLevel="0" collapsed="false">
      <c r="A198" s="26"/>
      <c r="B198" s="25"/>
      <c r="C198" s="25"/>
      <c r="D198" s="25"/>
      <c r="E198" s="25"/>
      <c r="F198" s="25"/>
      <c r="G198" s="25"/>
      <c r="H198" s="25"/>
      <c r="I198" s="25"/>
      <c r="J198" s="25"/>
    </row>
    <row r="199" customFormat="false" ht="15" hidden="false" customHeight="false" outlineLevel="0" collapsed="false">
      <c r="A199" s="26"/>
      <c r="B199" s="25"/>
      <c r="C199" s="25"/>
      <c r="D199" s="25"/>
      <c r="E199" s="25"/>
      <c r="F199" s="25"/>
      <c r="G199" s="25"/>
      <c r="H199" s="25"/>
      <c r="I199" s="25"/>
      <c r="J199" s="25"/>
    </row>
    <row r="200" customFormat="false" ht="15" hidden="false" customHeight="false" outlineLevel="0" collapsed="false">
      <c r="A200" s="26"/>
      <c r="B200" s="25"/>
      <c r="C200" s="25"/>
      <c r="D200" s="25"/>
      <c r="E200" s="25"/>
      <c r="F200" s="25"/>
      <c r="G200" s="25"/>
      <c r="H200" s="25"/>
      <c r="I200" s="25"/>
      <c r="J200" s="25"/>
    </row>
    <row r="201" customFormat="false" ht="15" hidden="false" customHeight="false" outlineLevel="0" collapsed="false">
      <c r="A201" s="26"/>
      <c r="B201" s="25"/>
      <c r="C201" s="25"/>
      <c r="D201" s="25"/>
      <c r="E201" s="25"/>
      <c r="F201" s="25"/>
      <c r="G201" s="25"/>
      <c r="H201" s="25"/>
      <c r="I201" s="25"/>
      <c r="J201" s="25"/>
    </row>
    <row r="202" customFormat="false" ht="15" hidden="false" customHeight="false" outlineLevel="0" collapsed="false">
      <c r="A202" s="26"/>
      <c r="B202" s="25"/>
      <c r="C202" s="25"/>
      <c r="D202" s="25"/>
      <c r="E202" s="25"/>
      <c r="F202" s="25"/>
      <c r="G202" s="25"/>
      <c r="H202" s="25"/>
      <c r="I202" s="25"/>
      <c r="J202" s="25"/>
    </row>
    <row r="203" customFormat="false" ht="15" hidden="false" customHeight="false" outlineLevel="0" collapsed="false">
      <c r="A203" s="26"/>
      <c r="B203" s="25"/>
      <c r="C203" s="25"/>
      <c r="D203" s="25"/>
      <c r="E203" s="25"/>
      <c r="F203" s="25"/>
      <c r="G203" s="25"/>
      <c r="H203" s="25"/>
      <c r="I203" s="25"/>
      <c r="J203" s="25"/>
    </row>
    <row r="204" customFormat="false" ht="15" hidden="false" customHeight="false" outlineLevel="0" collapsed="false">
      <c r="A204" s="26"/>
      <c r="B204" s="25"/>
      <c r="C204" s="25"/>
      <c r="D204" s="25"/>
      <c r="E204" s="25"/>
      <c r="F204" s="25"/>
      <c r="G204" s="25"/>
      <c r="H204" s="25"/>
      <c r="I204" s="25"/>
      <c r="J204" s="25"/>
    </row>
    <row r="205" customFormat="false" ht="15" hidden="false" customHeight="false" outlineLevel="0" collapsed="false">
      <c r="A205" s="26"/>
      <c r="B205" s="25"/>
      <c r="C205" s="25"/>
      <c r="D205" s="25"/>
      <c r="E205" s="25"/>
      <c r="F205" s="25"/>
      <c r="G205" s="25"/>
      <c r="H205" s="25"/>
      <c r="I205" s="25"/>
      <c r="J205" s="25"/>
    </row>
    <row r="206" customFormat="false" ht="15" hidden="false" customHeight="false" outlineLevel="0" collapsed="false">
      <c r="A206" s="26"/>
      <c r="B206" s="25"/>
      <c r="C206" s="25"/>
      <c r="D206" s="25"/>
      <c r="E206" s="25"/>
      <c r="F206" s="25"/>
      <c r="G206" s="25"/>
      <c r="H206" s="25"/>
      <c r="I206" s="25"/>
      <c r="J206" s="25"/>
    </row>
    <row r="207" customFormat="false" ht="15" hidden="false" customHeight="false" outlineLevel="0" collapsed="false">
      <c r="A207" s="26"/>
      <c r="B207" s="25"/>
      <c r="C207" s="25"/>
      <c r="D207" s="25"/>
      <c r="E207" s="25"/>
      <c r="F207" s="25"/>
      <c r="G207" s="25"/>
      <c r="H207" s="25"/>
      <c r="I207" s="25"/>
      <c r="J207" s="25"/>
    </row>
    <row r="208" customFormat="false" ht="15" hidden="false" customHeight="false" outlineLevel="0" collapsed="false">
      <c r="A208" s="26"/>
      <c r="B208" s="25"/>
      <c r="C208" s="25"/>
      <c r="D208" s="25"/>
      <c r="E208" s="25"/>
      <c r="F208" s="25"/>
      <c r="G208" s="25"/>
      <c r="H208" s="25"/>
      <c r="I208" s="25"/>
      <c r="J208" s="25"/>
    </row>
    <row r="209" customFormat="false" ht="15" hidden="false" customHeight="false" outlineLevel="0" collapsed="false">
      <c r="A209" s="26"/>
      <c r="B209" s="25"/>
      <c r="C209" s="25"/>
      <c r="D209" s="25"/>
      <c r="E209" s="25"/>
      <c r="F209" s="25"/>
      <c r="G209" s="25"/>
      <c r="H209" s="25"/>
      <c r="I209" s="25"/>
      <c r="J209" s="25"/>
    </row>
    <row r="210" customFormat="false" ht="15" hidden="false" customHeight="false" outlineLevel="0" collapsed="false">
      <c r="A210" s="26"/>
      <c r="B210" s="25"/>
      <c r="C210" s="25"/>
      <c r="D210" s="25"/>
      <c r="E210" s="25"/>
      <c r="F210" s="25"/>
      <c r="G210" s="25"/>
      <c r="H210" s="25"/>
      <c r="I210" s="25"/>
      <c r="J210" s="25"/>
    </row>
    <row r="211" customFormat="false" ht="15" hidden="false" customHeight="false" outlineLevel="0" collapsed="false">
      <c r="A211" s="26"/>
      <c r="B211" s="25"/>
      <c r="C211" s="25"/>
      <c r="D211" s="25"/>
      <c r="E211" s="25"/>
      <c r="F211" s="25"/>
      <c r="G211" s="25"/>
      <c r="H211" s="25"/>
      <c r="I211" s="25"/>
      <c r="J211" s="25"/>
    </row>
    <row r="212" customFormat="false" ht="15" hidden="false" customHeight="false" outlineLevel="0" collapsed="false">
      <c r="A212" s="26"/>
      <c r="B212" s="25"/>
      <c r="C212" s="25"/>
      <c r="D212" s="25"/>
      <c r="E212" s="25"/>
      <c r="F212" s="25"/>
      <c r="G212" s="25"/>
      <c r="H212" s="25"/>
      <c r="I212" s="25"/>
      <c r="J212" s="25"/>
    </row>
    <row r="213" customFormat="false" ht="15" hidden="false" customHeight="false" outlineLevel="0" collapsed="false">
      <c r="A213" s="26"/>
      <c r="B213" s="25"/>
      <c r="C213" s="25"/>
      <c r="D213" s="25"/>
      <c r="E213" s="25"/>
      <c r="F213" s="25"/>
      <c r="G213" s="25"/>
      <c r="H213" s="25"/>
      <c r="I213" s="25"/>
      <c r="J213" s="25"/>
    </row>
    <row r="214" customFormat="false" ht="15" hidden="false" customHeight="false" outlineLevel="0" collapsed="false">
      <c r="A214" s="26"/>
      <c r="B214" s="25"/>
      <c r="C214" s="25"/>
      <c r="D214" s="25"/>
      <c r="E214" s="25"/>
      <c r="F214" s="25"/>
      <c r="G214" s="25"/>
      <c r="H214" s="25"/>
      <c r="I214" s="25"/>
      <c r="J214" s="25"/>
    </row>
    <row r="215" customFormat="false" ht="15" hidden="false" customHeight="false" outlineLevel="0" collapsed="false">
      <c r="A215" s="26"/>
      <c r="B215" s="25"/>
      <c r="C215" s="25"/>
      <c r="D215" s="25"/>
      <c r="E215" s="25"/>
      <c r="F215" s="25"/>
      <c r="G215" s="25"/>
      <c r="H215" s="25"/>
      <c r="I215" s="25"/>
      <c r="J215" s="25"/>
    </row>
    <row r="216" customFormat="false" ht="15" hidden="false" customHeight="false" outlineLevel="0" collapsed="false">
      <c r="A216" s="26"/>
      <c r="B216" s="25"/>
      <c r="C216" s="25"/>
      <c r="D216" s="25"/>
      <c r="E216" s="25"/>
      <c r="F216" s="25"/>
      <c r="G216" s="25"/>
      <c r="H216" s="25"/>
      <c r="I216" s="25"/>
      <c r="J216" s="25"/>
    </row>
    <row r="217" customFormat="false" ht="15" hidden="false" customHeight="false" outlineLevel="0" collapsed="false">
      <c r="A217" s="26"/>
      <c r="B217" s="25"/>
      <c r="C217" s="25"/>
      <c r="D217" s="25"/>
      <c r="E217" s="25"/>
      <c r="F217" s="25"/>
      <c r="G217" s="25"/>
      <c r="H217" s="25"/>
      <c r="I217" s="25"/>
      <c r="J217" s="25"/>
    </row>
    <row r="218" customFormat="false" ht="15" hidden="false" customHeight="false" outlineLevel="0" collapsed="false">
      <c r="A218" s="26"/>
      <c r="B218" s="25"/>
      <c r="C218" s="25"/>
      <c r="D218" s="25"/>
      <c r="E218" s="25"/>
      <c r="F218" s="25"/>
      <c r="G218" s="25"/>
      <c r="H218" s="25"/>
      <c r="I218" s="25"/>
      <c r="J218" s="25"/>
    </row>
    <row r="219" customFormat="false" ht="15" hidden="false" customHeight="false" outlineLevel="0" collapsed="false">
      <c r="A219" s="26"/>
      <c r="B219" s="25"/>
      <c r="C219" s="25"/>
      <c r="D219" s="25"/>
      <c r="E219" s="25"/>
      <c r="F219" s="25"/>
      <c r="G219" s="25"/>
      <c r="H219" s="25"/>
      <c r="I219" s="25"/>
      <c r="J219" s="25"/>
    </row>
    <row r="220" customFormat="false" ht="15" hidden="false" customHeight="false" outlineLevel="0" collapsed="false">
      <c r="A220" s="26"/>
      <c r="B220" s="25"/>
      <c r="C220" s="25"/>
      <c r="D220" s="25"/>
      <c r="E220" s="25"/>
      <c r="F220" s="25"/>
      <c r="G220" s="25"/>
      <c r="H220" s="25"/>
      <c r="I220" s="25"/>
      <c r="J220" s="25"/>
    </row>
    <row r="221" customFormat="false" ht="15" hidden="false" customHeight="false" outlineLevel="0" collapsed="false">
      <c r="A221" s="26"/>
      <c r="B221" s="25"/>
      <c r="C221" s="25"/>
      <c r="D221" s="25"/>
      <c r="E221" s="25"/>
      <c r="F221" s="25"/>
      <c r="G221" s="25"/>
      <c r="H221" s="25"/>
      <c r="I221" s="25"/>
      <c r="J221" s="25"/>
    </row>
    <row r="222" customFormat="false" ht="15" hidden="false" customHeight="false" outlineLevel="0" collapsed="false">
      <c r="A222" s="26"/>
      <c r="B222" s="25"/>
      <c r="C222" s="25"/>
      <c r="D222" s="25"/>
      <c r="E222" s="25"/>
      <c r="F222" s="25"/>
      <c r="G222" s="25"/>
      <c r="H222" s="25"/>
      <c r="I222" s="25"/>
      <c r="J222" s="25"/>
    </row>
    <row r="223" customFormat="false" ht="15" hidden="false" customHeight="false" outlineLevel="0" collapsed="false">
      <c r="A223" s="26"/>
      <c r="B223" s="25"/>
      <c r="C223" s="25"/>
      <c r="D223" s="25"/>
      <c r="E223" s="25"/>
      <c r="F223" s="25"/>
      <c r="G223" s="25"/>
      <c r="H223" s="25"/>
      <c r="I223" s="25"/>
      <c r="J223" s="25"/>
    </row>
    <row r="224" customFormat="false" ht="15" hidden="false" customHeight="false" outlineLevel="0" collapsed="false">
      <c r="A224" s="26"/>
      <c r="B224" s="25"/>
      <c r="C224" s="25"/>
      <c r="D224" s="25"/>
      <c r="E224" s="25"/>
      <c r="F224" s="25"/>
      <c r="G224" s="25"/>
      <c r="H224" s="25"/>
      <c r="I224" s="25"/>
      <c r="J224" s="25"/>
    </row>
    <row r="225" customFormat="false" ht="15" hidden="false" customHeight="false" outlineLevel="0" collapsed="false">
      <c r="A225" s="26"/>
      <c r="B225" s="25"/>
      <c r="C225" s="25"/>
      <c r="D225" s="25"/>
      <c r="E225" s="25"/>
      <c r="F225" s="25"/>
      <c r="G225" s="25"/>
      <c r="H225" s="25"/>
      <c r="I225" s="25"/>
      <c r="J225" s="25"/>
    </row>
    <row r="226" customFormat="false" ht="15" hidden="false" customHeight="false" outlineLevel="0" collapsed="false">
      <c r="A226" s="26"/>
      <c r="B226" s="25"/>
      <c r="C226" s="25"/>
      <c r="D226" s="25"/>
      <c r="E226" s="25"/>
      <c r="F226" s="25"/>
      <c r="G226" s="25"/>
      <c r="H226" s="25"/>
      <c r="I226" s="25"/>
      <c r="J226" s="25"/>
    </row>
    <row r="227" customFormat="false" ht="15" hidden="false" customHeight="false" outlineLevel="0" collapsed="false">
      <c r="A227" s="26"/>
      <c r="B227" s="25"/>
      <c r="C227" s="25"/>
      <c r="D227" s="25"/>
      <c r="E227" s="25"/>
      <c r="F227" s="25"/>
      <c r="G227" s="25"/>
      <c r="H227" s="25"/>
      <c r="I227" s="25"/>
      <c r="J227" s="25"/>
    </row>
    <row r="228" customFormat="false" ht="15" hidden="false" customHeight="false" outlineLevel="0" collapsed="false">
      <c r="A228" s="26"/>
      <c r="B228" s="25"/>
      <c r="C228" s="25"/>
      <c r="D228" s="25"/>
      <c r="E228" s="25"/>
      <c r="F228" s="25"/>
      <c r="G228" s="25"/>
      <c r="H228" s="25"/>
      <c r="I228" s="25"/>
      <c r="J228" s="25"/>
    </row>
    <row r="229" customFormat="false" ht="15" hidden="false" customHeight="false" outlineLevel="0" collapsed="false">
      <c r="A229" s="26"/>
      <c r="B229" s="25"/>
      <c r="C229" s="25"/>
      <c r="D229" s="25"/>
      <c r="E229" s="25"/>
      <c r="F229" s="25"/>
      <c r="G229" s="25"/>
      <c r="H229" s="25"/>
      <c r="I229" s="25"/>
      <c r="J229" s="25"/>
    </row>
    <row r="230" customFormat="false" ht="15" hidden="false" customHeight="false" outlineLevel="0" collapsed="false">
      <c r="A230" s="26"/>
      <c r="B230" s="25"/>
      <c r="C230" s="25"/>
      <c r="D230" s="25"/>
      <c r="E230" s="25"/>
      <c r="F230" s="25"/>
      <c r="G230" s="25"/>
      <c r="H230" s="25"/>
      <c r="I230" s="25"/>
      <c r="J230" s="25"/>
    </row>
    <row r="231" customFormat="false" ht="15" hidden="false" customHeight="false" outlineLevel="0" collapsed="false">
      <c r="A231" s="26"/>
      <c r="B231" s="25"/>
      <c r="C231" s="25"/>
      <c r="D231" s="25"/>
      <c r="E231" s="25"/>
      <c r="F231" s="25"/>
      <c r="G231" s="25"/>
      <c r="H231" s="25"/>
      <c r="I231" s="25"/>
      <c r="J231" s="25"/>
    </row>
    <row r="232" customFormat="false" ht="15" hidden="false" customHeight="false" outlineLevel="0" collapsed="false">
      <c r="A232" s="26"/>
      <c r="B232" s="25"/>
      <c r="C232" s="25"/>
      <c r="D232" s="25"/>
      <c r="E232" s="25"/>
      <c r="F232" s="25"/>
      <c r="G232" s="25"/>
      <c r="H232" s="25"/>
      <c r="I232" s="25"/>
      <c r="J232" s="25"/>
    </row>
    <row r="233" customFormat="false" ht="15" hidden="false" customHeight="false" outlineLevel="0" collapsed="false">
      <c r="A233" s="26"/>
      <c r="B233" s="25"/>
      <c r="C233" s="25"/>
      <c r="D233" s="25"/>
      <c r="E233" s="25"/>
      <c r="F233" s="25"/>
      <c r="G233" s="25"/>
      <c r="H233" s="25"/>
      <c r="I233" s="25"/>
      <c r="J233" s="25"/>
    </row>
    <row r="234" customFormat="false" ht="15" hidden="false" customHeight="false" outlineLevel="0" collapsed="false">
      <c r="A234" s="26"/>
      <c r="B234" s="25"/>
      <c r="C234" s="25"/>
      <c r="D234" s="25"/>
      <c r="E234" s="25"/>
      <c r="F234" s="25"/>
      <c r="G234" s="25"/>
      <c r="H234" s="25"/>
      <c r="I234" s="25"/>
      <c r="J234" s="25"/>
    </row>
    <row r="235" customFormat="false" ht="15" hidden="false" customHeight="false" outlineLevel="0" collapsed="false">
      <c r="A235" s="26"/>
      <c r="B235" s="25"/>
      <c r="C235" s="25"/>
      <c r="D235" s="25"/>
      <c r="E235" s="25"/>
      <c r="F235" s="25"/>
      <c r="G235" s="25"/>
      <c r="H235" s="25"/>
      <c r="I235" s="25"/>
      <c r="J235" s="25"/>
    </row>
    <row r="236" customFormat="false" ht="15" hidden="false" customHeight="false" outlineLevel="0" collapsed="false">
      <c r="A236" s="26"/>
      <c r="B236" s="25"/>
      <c r="C236" s="25"/>
      <c r="D236" s="25"/>
      <c r="E236" s="25"/>
      <c r="F236" s="25"/>
      <c r="G236" s="25"/>
      <c r="H236" s="25"/>
      <c r="I236" s="25"/>
      <c r="J236" s="25"/>
    </row>
    <row r="237" customFormat="false" ht="15" hidden="false" customHeight="false" outlineLevel="0" collapsed="false">
      <c r="A237" s="26"/>
      <c r="B237" s="25"/>
      <c r="C237" s="25"/>
      <c r="D237" s="25"/>
      <c r="E237" s="25"/>
      <c r="F237" s="25"/>
      <c r="G237" s="25"/>
      <c r="H237" s="25"/>
      <c r="I237" s="25"/>
      <c r="J237" s="25"/>
    </row>
    <row r="238" customFormat="false" ht="15" hidden="false" customHeight="false" outlineLevel="0" collapsed="false">
      <c r="A238" s="26"/>
      <c r="B238" s="25"/>
      <c r="C238" s="25"/>
      <c r="D238" s="25"/>
      <c r="E238" s="25"/>
      <c r="F238" s="25"/>
      <c r="G238" s="25"/>
      <c r="H238" s="25"/>
      <c r="I238" s="25"/>
      <c r="J238" s="25"/>
    </row>
    <row r="239" customFormat="false" ht="15" hidden="false" customHeight="false" outlineLevel="0" collapsed="false">
      <c r="A239" s="26"/>
      <c r="B239" s="25"/>
      <c r="C239" s="25"/>
      <c r="D239" s="25"/>
      <c r="E239" s="25"/>
      <c r="F239" s="25"/>
      <c r="G239" s="25"/>
      <c r="H239" s="25"/>
      <c r="I239" s="25"/>
      <c r="J239" s="25"/>
    </row>
    <row r="240" customFormat="false" ht="15" hidden="false" customHeight="false" outlineLevel="0" collapsed="false">
      <c r="A240" s="26"/>
      <c r="B240" s="25"/>
      <c r="C240" s="25"/>
      <c r="D240" s="25"/>
      <c r="E240" s="25"/>
      <c r="F240" s="25"/>
      <c r="G240" s="25"/>
      <c r="H240" s="25"/>
      <c r="I240" s="25"/>
      <c r="J240" s="25"/>
    </row>
    <row r="241" customFormat="false" ht="15" hidden="false" customHeight="false" outlineLevel="0" collapsed="false">
      <c r="A241" s="26"/>
      <c r="B241" s="25"/>
      <c r="C241" s="25"/>
      <c r="D241" s="25"/>
      <c r="E241" s="25"/>
      <c r="F241" s="25"/>
      <c r="G241" s="25"/>
      <c r="H241" s="25"/>
      <c r="I241" s="25"/>
      <c r="J241" s="25"/>
    </row>
    <row r="242" customFormat="false" ht="15" hidden="false" customHeight="false" outlineLevel="0" collapsed="false">
      <c r="A242" s="26"/>
      <c r="B242" s="25"/>
      <c r="C242" s="25"/>
      <c r="D242" s="25"/>
      <c r="E242" s="25"/>
      <c r="F242" s="25"/>
      <c r="G242" s="25"/>
      <c r="H242" s="25"/>
      <c r="I242" s="25"/>
      <c r="J242" s="25"/>
    </row>
    <row r="243" customFormat="false" ht="15" hidden="false" customHeight="false" outlineLevel="0" collapsed="false">
      <c r="A243" s="26"/>
      <c r="B243" s="25"/>
      <c r="C243" s="25"/>
      <c r="D243" s="25"/>
      <c r="E243" s="25"/>
      <c r="F243" s="25"/>
      <c r="G243" s="25"/>
      <c r="H243" s="25"/>
      <c r="I243" s="25"/>
      <c r="J243" s="25"/>
    </row>
    <row r="244" customFormat="false" ht="15" hidden="false" customHeight="false" outlineLevel="0" collapsed="false">
      <c r="A244" s="26"/>
      <c r="B244" s="25"/>
      <c r="C244" s="25"/>
      <c r="D244" s="25"/>
      <c r="E244" s="25"/>
      <c r="F244" s="25"/>
      <c r="G244" s="25"/>
      <c r="H244" s="25"/>
      <c r="I244" s="25"/>
      <c r="J244" s="25"/>
    </row>
    <row r="245" customFormat="false" ht="15" hidden="false" customHeight="false" outlineLevel="0" collapsed="false">
      <c r="A245" s="26"/>
      <c r="B245" s="25"/>
      <c r="C245" s="25"/>
      <c r="D245" s="25"/>
      <c r="E245" s="25"/>
      <c r="F245" s="25"/>
      <c r="G245" s="25"/>
      <c r="H245" s="25"/>
      <c r="I245" s="25"/>
      <c r="J245" s="25"/>
    </row>
    <row r="246" customFormat="false" ht="15" hidden="false" customHeight="false" outlineLevel="0" collapsed="false">
      <c r="A246" s="26"/>
      <c r="B246" s="25"/>
      <c r="C246" s="25"/>
      <c r="D246" s="25"/>
      <c r="E246" s="25"/>
      <c r="F246" s="25"/>
      <c r="G246" s="25"/>
      <c r="H246" s="25"/>
      <c r="I246" s="25"/>
      <c r="J246" s="25"/>
    </row>
    <row r="247" customFormat="false" ht="15" hidden="false" customHeight="false" outlineLevel="0" collapsed="false">
      <c r="A247" s="26"/>
      <c r="B247" s="25"/>
      <c r="C247" s="25"/>
      <c r="D247" s="25"/>
      <c r="E247" s="25"/>
      <c r="F247" s="25"/>
      <c r="G247" s="25"/>
      <c r="H247" s="25"/>
      <c r="I247" s="25"/>
      <c r="J247" s="25"/>
    </row>
    <row r="248" customFormat="false" ht="15" hidden="false" customHeight="false" outlineLevel="0" collapsed="false">
      <c r="A248" s="26"/>
      <c r="B248" s="25"/>
      <c r="C248" s="25"/>
      <c r="D248" s="25"/>
      <c r="E248" s="25"/>
      <c r="F248" s="25"/>
      <c r="G248" s="25"/>
      <c r="H248" s="25"/>
      <c r="I248" s="25"/>
      <c r="J248" s="25"/>
    </row>
    <row r="249" customFormat="false" ht="15" hidden="false" customHeight="false" outlineLevel="0" collapsed="false">
      <c r="A249" s="26"/>
      <c r="B249" s="25"/>
      <c r="C249" s="25"/>
      <c r="D249" s="25"/>
      <c r="E249" s="25"/>
      <c r="F249" s="25"/>
      <c r="G249" s="25"/>
      <c r="H249" s="25"/>
      <c r="I249" s="25"/>
      <c r="J249" s="25"/>
    </row>
    <row r="250" customFormat="false" ht="15" hidden="false" customHeight="false" outlineLevel="0" collapsed="false">
      <c r="A250" s="26"/>
      <c r="B250" s="25"/>
      <c r="C250" s="25"/>
      <c r="D250" s="25"/>
      <c r="E250" s="25"/>
      <c r="F250" s="25"/>
      <c r="G250" s="25"/>
      <c r="H250" s="25"/>
      <c r="I250" s="25"/>
      <c r="J250" s="25"/>
    </row>
    <row r="251" customFormat="false" ht="15" hidden="false" customHeight="false" outlineLevel="0" collapsed="false">
      <c r="A251" s="26"/>
      <c r="B251" s="25"/>
      <c r="C251" s="25"/>
      <c r="D251" s="25"/>
      <c r="E251" s="25"/>
      <c r="F251" s="25"/>
      <c r="G251" s="25"/>
      <c r="H251" s="25"/>
      <c r="I251" s="25"/>
      <c r="J251" s="25"/>
    </row>
    <row r="252" customFormat="false" ht="15" hidden="false" customHeight="false" outlineLevel="0" collapsed="false">
      <c r="A252" s="26"/>
      <c r="B252" s="25"/>
      <c r="C252" s="25"/>
      <c r="D252" s="25"/>
      <c r="E252" s="25"/>
      <c r="F252" s="25"/>
      <c r="G252" s="25"/>
      <c r="H252" s="25"/>
      <c r="I252" s="25"/>
      <c r="J252" s="25"/>
    </row>
    <row r="253" customFormat="false" ht="15" hidden="false" customHeight="false" outlineLevel="0" collapsed="false">
      <c r="A253" s="26"/>
      <c r="B253" s="25"/>
      <c r="C253" s="25"/>
      <c r="D253" s="25"/>
      <c r="E253" s="25"/>
      <c r="F253" s="25"/>
      <c r="G253" s="25"/>
      <c r="H253" s="25"/>
      <c r="I253" s="25"/>
      <c r="J253" s="25"/>
    </row>
    <row r="254" customFormat="false" ht="15" hidden="false" customHeight="false" outlineLevel="0" collapsed="false">
      <c r="A254" s="26"/>
      <c r="B254" s="25"/>
      <c r="C254" s="25"/>
      <c r="D254" s="25"/>
      <c r="E254" s="25"/>
      <c r="F254" s="25"/>
      <c r="G254" s="25"/>
      <c r="H254" s="25"/>
      <c r="I254" s="25"/>
      <c r="J254" s="25"/>
    </row>
    <row r="255" customFormat="false" ht="15" hidden="false" customHeight="false" outlineLevel="0" collapsed="false">
      <c r="A255" s="26"/>
      <c r="B255" s="25"/>
      <c r="C255" s="25"/>
      <c r="D255" s="25"/>
      <c r="E255" s="25"/>
      <c r="F255" s="25"/>
      <c r="G255" s="25"/>
      <c r="H255" s="25"/>
      <c r="I255" s="25"/>
      <c r="J255" s="25"/>
    </row>
    <row r="256" customFormat="false" ht="15" hidden="false" customHeight="false" outlineLevel="0" collapsed="false">
      <c r="A256" s="26"/>
      <c r="B256" s="25"/>
      <c r="C256" s="25"/>
      <c r="D256" s="25"/>
      <c r="E256" s="25"/>
      <c r="F256" s="25"/>
      <c r="G256" s="25"/>
      <c r="H256" s="25"/>
      <c r="I256" s="25"/>
      <c r="J256" s="25"/>
    </row>
    <row r="257" customFormat="false" ht="15" hidden="false" customHeight="false" outlineLevel="0" collapsed="false">
      <c r="A257" s="26"/>
      <c r="B257" s="25"/>
      <c r="C257" s="25"/>
      <c r="D257" s="25"/>
      <c r="E257" s="25"/>
      <c r="F257" s="25"/>
      <c r="G257" s="25"/>
      <c r="H257" s="25"/>
      <c r="I257" s="25"/>
      <c r="J257" s="25"/>
    </row>
    <row r="258" customFormat="false" ht="15" hidden="false" customHeight="false" outlineLevel="0" collapsed="false">
      <c r="A258" s="26"/>
      <c r="B258" s="25"/>
      <c r="C258" s="25"/>
      <c r="D258" s="25"/>
      <c r="E258" s="25"/>
      <c r="F258" s="25"/>
      <c r="G258" s="25"/>
      <c r="H258" s="25"/>
      <c r="I258" s="25"/>
      <c r="J258" s="25"/>
    </row>
    <row r="259" customFormat="false" ht="15" hidden="false" customHeight="false" outlineLevel="0" collapsed="false">
      <c r="A259" s="26"/>
      <c r="B259" s="25"/>
      <c r="C259" s="25"/>
      <c r="D259" s="25"/>
      <c r="E259" s="25"/>
      <c r="F259" s="25"/>
      <c r="G259" s="25"/>
      <c r="H259" s="25"/>
      <c r="I259" s="25"/>
      <c r="J259" s="25"/>
    </row>
    <row r="260" customFormat="false" ht="15" hidden="false" customHeight="false" outlineLevel="0" collapsed="false">
      <c r="A260" s="26"/>
      <c r="B260" s="25"/>
      <c r="C260" s="25"/>
      <c r="D260" s="25"/>
      <c r="E260" s="25"/>
      <c r="F260" s="25"/>
      <c r="G260" s="25"/>
      <c r="H260" s="25"/>
      <c r="I260" s="25"/>
      <c r="J260" s="25"/>
    </row>
    <row r="261" customFormat="false" ht="15" hidden="false" customHeight="false" outlineLevel="0" collapsed="false">
      <c r="A261" s="26"/>
      <c r="B261" s="25"/>
      <c r="C261" s="25"/>
      <c r="D261" s="25"/>
      <c r="E261" s="25"/>
      <c r="F261" s="25"/>
      <c r="G261" s="25"/>
      <c r="H261" s="25"/>
      <c r="I261" s="25"/>
      <c r="J261" s="25"/>
    </row>
    <row r="262" customFormat="false" ht="15" hidden="false" customHeight="false" outlineLevel="0" collapsed="false">
      <c r="A262" s="26"/>
      <c r="B262" s="25"/>
      <c r="C262" s="25"/>
      <c r="D262" s="25"/>
      <c r="E262" s="25"/>
      <c r="F262" s="25"/>
      <c r="G262" s="25"/>
      <c r="H262" s="25"/>
      <c r="I262" s="25"/>
      <c r="J262" s="25"/>
    </row>
    <row r="263" customFormat="false" ht="15" hidden="false" customHeight="false" outlineLevel="0" collapsed="false">
      <c r="A263" s="26"/>
      <c r="B263" s="25"/>
      <c r="C263" s="25"/>
      <c r="D263" s="25"/>
      <c r="E263" s="25"/>
      <c r="F263" s="25"/>
      <c r="G263" s="25"/>
      <c r="H263" s="25"/>
      <c r="I263" s="25"/>
      <c r="J263" s="25"/>
    </row>
    <row r="264" customFormat="false" ht="15" hidden="false" customHeight="false" outlineLevel="0" collapsed="false">
      <c r="A264" s="26"/>
      <c r="B264" s="25"/>
      <c r="C264" s="25"/>
      <c r="D264" s="25"/>
      <c r="E264" s="25"/>
      <c r="F264" s="25"/>
      <c r="G264" s="25"/>
      <c r="H264" s="25"/>
      <c r="I264" s="25"/>
      <c r="J264" s="25"/>
    </row>
    <row r="265" customFormat="false" ht="15" hidden="false" customHeight="false" outlineLevel="0" collapsed="false">
      <c r="A265" s="26"/>
      <c r="B265" s="25"/>
      <c r="C265" s="25"/>
      <c r="D265" s="25"/>
      <c r="E265" s="25"/>
      <c r="F265" s="25"/>
      <c r="G265" s="25"/>
      <c r="H265" s="25"/>
      <c r="I265" s="25"/>
      <c r="J265" s="25"/>
    </row>
    <row r="266" customFormat="false" ht="15" hidden="false" customHeight="false" outlineLevel="0" collapsed="false">
      <c r="A266" s="26"/>
      <c r="B266" s="25"/>
      <c r="C266" s="25"/>
      <c r="D266" s="25"/>
      <c r="E266" s="25"/>
      <c r="F266" s="25"/>
      <c r="G266" s="25"/>
      <c r="H266" s="25"/>
      <c r="I266" s="25"/>
      <c r="J266" s="25"/>
    </row>
    <row r="267" customFormat="false" ht="15" hidden="false" customHeight="false" outlineLevel="0" collapsed="false">
      <c r="A267" s="26"/>
      <c r="B267" s="25"/>
      <c r="C267" s="25"/>
      <c r="D267" s="25"/>
      <c r="E267" s="25"/>
      <c r="F267" s="25"/>
      <c r="G267" s="25"/>
      <c r="H267" s="25"/>
      <c r="I267" s="25"/>
      <c r="J267" s="25"/>
    </row>
    <row r="268" customFormat="false" ht="15" hidden="false" customHeight="false" outlineLevel="0" collapsed="false">
      <c r="A268" s="26"/>
      <c r="B268" s="25"/>
      <c r="C268" s="25"/>
      <c r="D268" s="25"/>
      <c r="E268" s="25"/>
      <c r="F268" s="25"/>
      <c r="G268" s="25"/>
      <c r="H268" s="25"/>
      <c r="I268" s="25"/>
      <c r="J268" s="25"/>
    </row>
    <row r="269" customFormat="false" ht="15" hidden="false" customHeight="false" outlineLevel="0" collapsed="false">
      <c r="A269" s="26"/>
      <c r="B269" s="25"/>
      <c r="C269" s="25"/>
      <c r="D269" s="25"/>
      <c r="E269" s="25"/>
      <c r="F269" s="25"/>
      <c r="G269" s="25"/>
      <c r="H269" s="25"/>
      <c r="I269" s="25"/>
      <c r="J269" s="25"/>
    </row>
    <row r="270" customFormat="false" ht="15" hidden="false" customHeight="false" outlineLevel="0" collapsed="false">
      <c r="A270" s="26"/>
      <c r="B270" s="25"/>
      <c r="C270" s="25"/>
      <c r="D270" s="25"/>
      <c r="E270" s="25"/>
      <c r="F270" s="25"/>
      <c r="G270" s="25"/>
      <c r="H270" s="25"/>
      <c r="I270" s="25"/>
      <c r="J270" s="25"/>
    </row>
    <row r="271" customFormat="false" ht="15" hidden="false" customHeight="false" outlineLevel="0" collapsed="false">
      <c r="A271" s="26"/>
      <c r="B271" s="25"/>
      <c r="C271" s="25"/>
      <c r="D271" s="25"/>
      <c r="E271" s="25"/>
      <c r="F271" s="25"/>
      <c r="G271" s="25"/>
      <c r="H271" s="25"/>
      <c r="I271" s="25"/>
      <c r="J271" s="25"/>
    </row>
    <row r="272" customFormat="false" ht="15" hidden="false" customHeight="false" outlineLevel="0" collapsed="false">
      <c r="A272" s="26"/>
      <c r="B272" s="25"/>
      <c r="C272" s="25"/>
      <c r="D272" s="25"/>
      <c r="E272" s="25"/>
      <c r="F272" s="25"/>
      <c r="G272" s="25"/>
      <c r="H272" s="25"/>
      <c r="I272" s="25"/>
      <c r="J272" s="25"/>
    </row>
    <row r="273" customFormat="false" ht="15" hidden="false" customHeight="false" outlineLevel="0" collapsed="false">
      <c r="A273" s="26"/>
      <c r="B273" s="25"/>
      <c r="C273" s="25"/>
      <c r="D273" s="25"/>
      <c r="E273" s="25"/>
      <c r="F273" s="25"/>
      <c r="G273" s="25"/>
      <c r="H273" s="25"/>
      <c r="I273" s="25"/>
      <c r="J273" s="25"/>
    </row>
    <row r="274" customFormat="false" ht="15" hidden="false" customHeight="false" outlineLevel="0" collapsed="false">
      <c r="A274" s="26"/>
      <c r="B274" s="25"/>
      <c r="C274" s="25"/>
      <c r="D274" s="25"/>
      <c r="E274" s="25"/>
      <c r="F274" s="25"/>
      <c r="G274" s="25"/>
      <c r="H274" s="25"/>
      <c r="I274" s="25"/>
      <c r="J274" s="25"/>
    </row>
    <row r="275" customFormat="false" ht="15" hidden="false" customHeight="false" outlineLevel="0" collapsed="false">
      <c r="A275" s="26"/>
      <c r="B275" s="25"/>
      <c r="C275" s="25"/>
      <c r="D275" s="25"/>
      <c r="E275" s="25"/>
      <c r="F275" s="25"/>
      <c r="G275" s="25"/>
      <c r="H275" s="25"/>
      <c r="I275" s="25"/>
      <c r="J275" s="25"/>
    </row>
    <row r="276" customFormat="false" ht="15" hidden="false" customHeight="false" outlineLevel="0" collapsed="false">
      <c r="A276" s="26"/>
      <c r="B276" s="25"/>
      <c r="C276" s="25"/>
      <c r="D276" s="25"/>
      <c r="E276" s="25"/>
      <c r="F276" s="25"/>
      <c r="G276" s="25"/>
      <c r="H276" s="25"/>
      <c r="I276" s="25"/>
      <c r="J276" s="25"/>
    </row>
    <row r="277" customFormat="false" ht="15" hidden="false" customHeight="false" outlineLevel="0" collapsed="false">
      <c r="A277" s="26"/>
      <c r="B277" s="25"/>
      <c r="C277" s="25"/>
      <c r="D277" s="25"/>
      <c r="E277" s="25"/>
      <c r="F277" s="25"/>
      <c r="G277" s="25"/>
      <c r="H277" s="25"/>
      <c r="I277" s="25"/>
      <c r="J277" s="25"/>
    </row>
    <row r="278" customFormat="false" ht="15" hidden="false" customHeight="false" outlineLevel="0" collapsed="false">
      <c r="A278" s="26"/>
      <c r="B278" s="25"/>
      <c r="C278" s="25"/>
      <c r="D278" s="25"/>
      <c r="E278" s="25"/>
      <c r="F278" s="25"/>
      <c r="G278" s="25"/>
      <c r="H278" s="25"/>
      <c r="I278" s="25"/>
      <c r="J278" s="25"/>
    </row>
    <row r="279" customFormat="false" ht="15" hidden="false" customHeight="false" outlineLevel="0" collapsed="false">
      <c r="A279" s="26"/>
      <c r="B279" s="25"/>
      <c r="C279" s="25"/>
      <c r="D279" s="25"/>
      <c r="E279" s="25"/>
      <c r="F279" s="25"/>
      <c r="G279" s="25"/>
      <c r="H279" s="25"/>
      <c r="I279" s="25"/>
      <c r="J279" s="25"/>
    </row>
    <row r="280" customFormat="false" ht="15" hidden="false" customHeight="false" outlineLevel="0" collapsed="false">
      <c r="A280" s="26"/>
      <c r="B280" s="25"/>
      <c r="C280" s="25"/>
      <c r="D280" s="25"/>
      <c r="E280" s="25"/>
      <c r="F280" s="25"/>
      <c r="G280" s="25"/>
      <c r="H280" s="25"/>
      <c r="I280" s="25"/>
      <c r="J280" s="25"/>
    </row>
    <row r="281" customFormat="false" ht="15" hidden="false" customHeight="false" outlineLevel="0" collapsed="false">
      <c r="A281" s="26"/>
      <c r="B281" s="25"/>
      <c r="C281" s="25"/>
      <c r="D281" s="25"/>
      <c r="E281" s="25"/>
      <c r="F281" s="25"/>
      <c r="G281" s="25"/>
      <c r="H281" s="25"/>
      <c r="I281" s="25"/>
      <c r="J281" s="25"/>
    </row>
    <row r="282" customFormat="false" ht="15" hidden="false" customHeight="false" outlineLevel="0" collapsed="false">
      <c r="A282" s="26"/>
      <c r="B282" s="25"/>
      <c r="C282" s="25"/>
      <c r="D282" s="25"/>
      <c r="E282" s="25"/>
      <c r="F282" s="25"/>
      <c r="G282" s="25"/>
      <c r="H282" s="25"/>
      <c r="I282" s="25"/>
      <c r="J282" s="25"/>
    </row>
    <row r="283" customFormat="false" ht="15" hidden="false" customHeight="false" outlineLevel="0" collapsed="false">
      <c r="A283" s="26"/>
      <c r="B283" s="25"/>
      <c r="C283" s="25"/>
      <c r="D283" s="25"/>
      <c r="E283" s="25"/>
      <c r="F283" s="25"/>
      <c r="G283" s="25"/>
      <c r="H283" s="25"/>
      <c r="I283" s="25"/>
      <c r="J283" s="25"/>
    </row>
    <row r="284" customFormat="false" ht="15" hidden="false" customHeight="false" outlineLevel="0" collapsed="false">
      <c r="A284" s="26"/>
      <c r="B284" s="25"/>
      <c r="C284" s="25"/>
      <c r="D284" s="25"/>
      <c r="E284" s="25"/>
      <c r="F284" s="25"/>
      <c r="G284" s="25"/>
      <c r="H284" s="25"/>
      <c r="I284" s="25"/>
      <c r="J284" s="25"/>
    </row>
    <row r="285" customFormat="false" ht="15" hidden="false" customHeight="false" outlineLevel="0" collapsed="false">
      <c r="A285" s="26"/>
      <c r="B285" s="25"/>
      <c r="C285" s="25"/>
      <c r="D285" s="25"/>
      <c r="E285" s="25"/>
      <c r="F285" s="25"/>
      <c r="G285" s="25"/>
      <c r="H285" s="25"/>
      <c r="I285" s="25"/>
      <c r="J285" s="25"/>
    </row>
    <row r="286" customFormat="false" ht="15" hidden="false" customHeight="false" outlineLevel="0" collapsed="false">
      <c r="A286" s="26"/>
      <c r="B286" s="25"/>
      <c r="C286" s="25"/>
      <c r="D286" s="25"/>
      <c r="E286" s="25"/>
      <c r="F286" s="25"/>
      <c r="G286" s="25"/>
      <c r="H286" s="25"/>
      <c r="I286" s="25"/>
      <c r="J286" s="25"/>
    </row>
    <row r="287" customFormat="false" ht="15" hidden="false" customHeight="false" outlineLevel="0" collapsed="false">
      <c r="A287" s="26"/>
      <c r="B287" s="25"/>
      <c r="C287" s="25"/>
      <c r="D287" s="25"/>
      <c r="E287" s="25"/>
      <c r="F287" s="25"/>
      <c r="G287" s="25"/>
      <c r="H287" s="25"/>
      <c r="I287" s="25"/>
      <c r="J287" s="25"/>
    </row>
    <row r="288" customFormat="false" ht="15" hidden="false" customHeight="false" outlineLevel="0" collapsed="false">
      <c r="A288" s="26"/>
      <c r="B288" s="25"/>
      <c r="C288" s="25"/>
      <c r="D288" s="25"/>
      <c r="E288" s="25"/>
      <c r="F288" s="25"/>
      <c r="G288" s="25"/>
      <c r="H288" s="25"/>
      <c r="I288" s="25"/>
      <c r="J288" s="25"/>
    </row>
    <row r="289" customFormat="false" ht="15" hidden="false" customHeight="false" outlineLevel="0" collapsed="false">
      <c r="A289" s="26"/>
      <c r="B289" s="25"/>
      <c r="C289" s="25"/>
      <c r="D289" s="25"/>
      <c r="E289" s="25"/>
      <c r="F289" s="25"/>
      <c r="G289" s="25"/>
      <c r="H289" s="25"/>
      <c r="I289" s="25"/>
      <c r="J289" s="25"/>
    </row>
    <row r="290" customFormat="false" ht="15" hidden="false" customHeight="false" outlineLevel="0" collapsed="false">
      <c r="A290" s="26"/>
      <c r="B290" s="25"/>
      <c r="C290" s="25"/>
      <c r="D290" s="25"/>
      <c r="E290" s="25"/>
      <c r="F290" s="25"/>
      <c r="G290" s="25"/>
      <c r="H290" s="25"/>
      <c r="I290" s="25"/>
      <c r="J290" s="25"/>
    </row>
    <row r="291" customFormat="false" ht="15" hidden="false" customHeight="false" outlineLevel="0" collapsed="false">
      <c r="A291" s="26"/>
      <c r="B291" s="25"/>
      <c r="C291" s="25"/>
      <c r="D291" s="25"/>
      <c r="E291" s="25"/>
      <c r="F291" s="25"/>
      <c r="G291" s="25"/>
      <c r="H291" s="25"/>
      <c r="I291" s="25"/>
      <c r="J291" s="25"/>
    </row>
    <row r="292" customFormat="false" ht="15" hidden="false" customHeight="false" outlineLevel="0" collapsed="false">
      <c r="A292" s="26"/>
      <c r="B292" s="25"/>
      <c r="C292" s="25"/>
      <c r="D292" s="25"/>
      <c r="E292" s="25"/>
      <c r="F292" s="25"/>
      <c r="G292" s="25"/>
      <c r="H292" s="25"/>
      <c r="I292" s="25"/>
      <c r="J292" s="25"/>
    </row>
    <row r="293" customFormat="false" ht="15" hidden="false" customHeight="false" outlineLevel="0" collapsed="false">
      <c r="A293" s="26"/>
      <c r="B293" s="25"/>
      <c r="C293" s="25"/>
      <c r="D293" s="25"/>
      <c r="E293" s="25"/>
      <c r="F293" s="25"/>
      <c r="G293" s="25"/>
      <c r="H293" s="25"/>
      <c r="I293" s="25"/>
      <c r="J293" s="25"/>
    </row>
    <row r="294" customFormat="false" ht="15" hidden="false" customHeight="false" outlineLevel="0" collapsed="false">
      <c r="A294" s="26"/>
      <c r="B294" s="25"/>
      <c r="C294" s="25"/>
      <c r="D294" s="25"/>
      <c r="E294" s="25"/>
      <c r="F294" s="25"/>
      <c r="G294" s="25"/>
      <c r="H294" s="25"/>
      <c r="I294" s="25"/>
      <c r="J294" s="25"/>
    </row>
    <row r="295" customFormat="false" ht="15" hidden="false" customHeight="false" outlineLevel="0" collapsed="false">
      <c r="A295" s="26"/>
      <c r="B295" s="25"/>
      <c r="C295" s="25"/>
      <c r="D295" s="25"/>
      <c r="E295" s="25"/>
      <c r="F295" s="25"/>
      <c r="G295" s="25"/>
      <c r="H295" s="25"/>
      <c r="I295" s="25"/>
      <c r="J295" s="25"/>
    </row>
    <row r="296" customFormat="false" ht="15" hidden="false" customHeight="false" outlineLevel="0" collapsed="false">
      <c r="A296" s="26"/>
      <c r="B296" s="25"/>
      <c r="C296" s="25"/>
      <c r="D296" s="25"/>
      <c r="E296" s="25"/>
      <c r="F296" s="25"/>
      <c r="G296" s="25"/>
      <c r="H296" s="25"/>
      <c r="I296" s="25"/>
      <c r="J296" s="25"/>
    </row>
    <row r="297" customFormat="false" ht="15" hidden="false" customHeight="false" outlineLevel="0" collapsed="false">
      <c r="A297" s="26"/>
      <c r="B297" s="25"/>
      <c r="C297" s="25"/>
      <c r="D297" s="25"/>
      <c r="E297" s="25"/>
      <c r="F297" s="25"/>
      <c r="G297" s="25"/>
      <c r="H297" s="25"/>
      <c r="I297" s="25"/>
      <c r="J297" s="25"/>
    </row>
    <row r="298" customFormat="false" ht="15" hidden="false" customHeight="false" outlineLevel="0" collapsed="false">
      <c r="A298" s="26"/>
      <c r="B298" s="25"/>
      <c r="C298" s="25"/>
      <c r="D298" s="25"/>
      <c r="E298" s="25"/>
      <c r="F298" s="25"/>
      <c r="G298" s="25"/>
      <c r="H298" s="25"/>
      <c r="I298" s="25"/>
      <c r="J298" s="25"/>
    </row>
    <row r="299" customFormat="false" ht="15" hidden="false" customHeight="false" outlineLevel="0" collapsed="false">
      <c r="A299" s="26"/>
      <c r="B299" s="25"/>
      <c r="C299" s="25"/>
      <c r="D299" s="25"/>
      <c r="E299" s="25"/>
      <c r="F299" s="25"/>
      <c r="G299" s="25"/>
      <c r="H299" s="25"/>
      <c r="I299" s="25"/>
      <c r="J299" s="25"/>
    </row>
    <row r="300" customFormat="false" ht="15" hidden="false" customHeight="false" outlineLevel="0" collapsed="false">
      <c r="A300" s="26"/>
      <c r="B300" s="25"/>
      <c r="C300" s="25"/>
      <c r="D300" s="25"/>
      <c r="E300" s="25"/>
      <c r="F300" s="25"/>
      <c r="G300" s="25"/>
      <c r="H300" s="25"/>
      <c r="I300" s="25"/>
      <c r="J300" s="25"/>
    </row>
    <row r="301" customFormat="false" ht="15" hidden="false" customHeight="false" outlineLevel="0" collapsed="false">
      <c r="A301" s="26"/>
      <c r="B301" s="25"/>
      <c r="C301" s="25"/>
      <c r="D301" s="25"/>
      <c r="E301" s="25"/>
      <c r="F301" s="25"/>
      <c r="G301" s="25"/>
      <c r="H301" s="25"/>
      <c r="I301" s="25"/>
      <c r="J301" s="25"/>
    </row>
    <row r="302" customFormat="false" ht="15" hidden="false" customHeight="false" outlineLevel="0" collapsed="false">
      <c r="A302" s="26"/>
      <c r="B302" s="25"/>
      <c r="C302" s="25"/>
      <c r="D302" s="25"/>
      <c r="E302" s="25"/>
      <c r="F302" s="25"/>
      <c r="G302" s="25"/>
      <c r="H302" s="25"/>
      <c r="I302" s="25"/>
      <c r="J302" s="25"/>
    </row>
    <row r="303" customFormat="false" ht="15" hidden="false" customHeight="false" outlineLevel="0" collapsed="false">
      <c r="A303" s="26"/>
      <c r="B303" s="25"/>
      <c r="C303" s="25"/>
      <c r="D303" s="25"/>
      <c r="E303" s="25"/>
      <c r="F303" s="25"/>
      <c r="G303" s="25"/>
      <c r="H303" s="25"/>
      <c r="I303" s="25"/>
      <c r="J303" s="25"/>
    </row>
    <row r="304" customFormat="false" ht="15" hidden="false" customHeight="false" outlineLevel="0" collapsed="false">
      <c r="A304" s="26"/>
      <c r="B304" s="25"/>
      <c r="C304" s="25"/>
      <c r="D304" s="25"/>
      <c r="E304" s="25"/>
      <c r="F304" s="25"/>
      <c r="G304" s="25"/>
      <c r="H304" s="25"/>
      <c r="I304" s="25"/>
      <c r="J304" s="25"/>
    </row>
    <row r="305" customFormat="false" ht="15" hidden="false" customHeight="false" outlineLevel="0" collapsed="false">
      <c r="A305" s="26"/>
      <c r="B305" s="25"/>
      <c r="C305" s="25"/>
      <c r="D305" s="25"/>
      <c r="E305" s="25"/>
      <c r="F305" s="25"/>
      <c r="G305" s="25"/>
      <c r="H305" s="25"/>
      <c r="I305" s="25"/>
      <c r="J305" s="25"/>
    </row>
    <row r="306" customFormat="false" ht="15" hidden="false" customHeight="false" outlineLevel="0" collapsed="false">
      <c r="A306" s="26"/>
      <c r="B306" s="25"/>
      <c r="C306" s="25"/>
      <c r="D306" s="25"/>
      <c r="E306" s="25"/>
      <c r="F306" s="25"/>
      <c r="G306" s="25"/>
      <c r="H306" s="25"/>
      <c r="I306" s="25"/>
      <c r="J306" s="25"/>
    </row>
    <row r="307" customFormat="false" ht="15" hidden="false" customHeight="false" outlineLevel="0" collapsed="false">
      <c r="A307" s="26"/>
      <c r="B307" s="25"/>
      <c r="C307" s="25"/>
      <c r="D307" s="25"/>
      <c r="E307" s="25"/>
      <c r="F307" s="25"/>
      <c r="G307" s="25"/>
      <c r="H307" s="25"/>
      <c r="I307" s="25"/>
      <c r="J307" s="25"/>
    </row>
    <row r="308" customFormat="false" ht="15" hidden="false" customHeight="false" outlineLevel="0" collapsed="false">
      <c r="A308" s="26"/>
      <c r="B308" s="25"/>
      <c r="C308" s="25"/>
      <c r="D308" s="25"/>
      <c r="E308" s="25"/>
      <c r="F308" s="25"/>
      <c r="G308" s="25"/>
      <c r="H308" s="25"/>
      <c r="I308" s="25"/>
      <c r="J308" s="25"/>
    </row>
    <row r="309" customFormat="false" ht="15" hidden="false" customHeight="false" outlineLevel="0" collapsed="false">
      <c r="A309" s="26"/>
      <c r="B309" s="25"/>
      <c r="C309" s="25"/>
      <c r="D309" s="25"/>
      <c r="E309" s="25"/>
      <c r="F309" s="25"/>
      <c r="G309" s="25"/>
      <c r="H309" s="25"/>
      <c r="I309" s="25"/>
      <c r="J309" s="25"/>
    </row>
    <row r="310" customFormat="false" ht="15" hidden="false" customHeight="false" outlineLevel="0" collapsed="false">
      <c r="A310" s="26"/>
      <c r="B310" s="25"/>
      <c r="C310" s="25"/>
      <c r="D310" s="25"/>
      <c r="E310" s="25"/>
      <c r="F310" s="25"/>
      <c r="G310" s="25"/>
      <c r="H310" s="25"/>
      <c r="I310" s="25"/>
      <c r="J310" s="25"/>
    </row>
    <row r="311" customFormat="false" ht="15" hidden="false" customHeight="false" outlineLevel="0" collapsed="false">
      <c r="A311" s="26"/>
      <c r="B311" s="25"/>
      <c r="C311" s="25"/>
      <c r="D311" s="25"/>
      <c r="E311" s="25"/>
      <c r="F311" s="25"/>
      <c r="G311" s="25"/>
      <c r="H311" s="25"/>
      <c r="I311" s="25"/>
      <c r="J311" s="25"/>
    </row>
    <row r="312" customFormat="false" ht="15" hidden="false" customHeight="false" outlineLevel="0" collapsed="false">
      <c r="A312" s="26"/>
      <c r="B312" s="25"/>
      <c r="C312" s="25"/>
      <c r="D312" s="25"/>
      <c r="E312" s="25"/>
      <c r="F312" s="25"/>
      <c r="G312" s="25"/>
      <c r="H312" s="25"/>
      <c r="I312" s="25"/>
      <c r="J312" s="25"/>
    </row>
    <row r="313" customFormat="false" ht="15" hidden="false" customHeight="false" outlineLevel="0" collapsed="false">
      <c r="A313" s="26"/>
      <c r="B313" s="25"/>
      <c r="C313" s="25"/>
      <c r="D313" s="25"/>
      <c r="E313" s="25"/>
      <c r="F313" s="25"/>
      <c r="G313" s="25"/>
      <c r="H313" s="25"/>
      <c r="I313" s="25"/>
      <c r="J313" s="25"/>
    </row>
    <row r="314" customFormat="false" ht="15" hidden="false" customHeight="false" outlineLevel="0" collapsed="false">
      <c r="A314" s="26"/>
      <c r="B314" s="25"/>
      <c r="C314" s="25"/>
      <c r="D314" s="25"/>
      <c r="E314" s="25"/>
      <c r="F314" s="25"/>
      <c r="G314" s="25"/>
      <c r="H314" s="25"/>
      <c r="I314" s="25"/>
      <c r="J314" s="25"/>
    </row>
    <row r="315" customFormat="false" ht="15" hidden="false" customHeight="false" outlineLevel="0" collapsed="false">
      <c r="A315" s="26"/>
      <c r="B315" s="25"/>
      <c r="C315" s="25"/>
      <c r="D315" s="25"/>
      <c r="E315" s="25"/>
      <c r="F315" s="25"/>
      <c r="G315" s="25"/>
      <c r="H315" s="25"/>
      <c r="I315" s="25"/>
      <c r="J315" s="25"/>
    </row>
    <row r="316" customFormat="false" ht="15" hidden="false" customHeight="false" outlineLevel="0" collapsed="false">
      <c r="A316" s="26"/>
      <c r="B316" s="25"/>
      <c r="C316" s="25"/>
      <c r="D316" s="25"/>
      <c r="E316" s="25"/>
      <c r="F316" s="25"/>
      <c r="G316" s="25"/>
      <c r="H316" s="25"/>
      <c r="I316" s="25"/>
      <c r="J316" s="25"/>
    </row>
    <row r="317" customFormat="false" ht="15" hidden="false" customHeight="false" outlineLevel="0" collapsed="false">
      <c r="A317" s="26"/>
      <c r="B317" s="25"/>
      <c r="C317" s="25"/>
      <c r="D317" s="25"/>
      <c r="E317" s="25"/>
      <c r="F317" s="25"/>
      <c r="G317" s="25"/>
      <c r="H317" s="25"/>
      <c r="I317" s="25"/>
      <c r="J317" s="25"/>
    </row>
    <row r="318" customFormat="false" ht="15" hidden="false" customHeight="false" outlineLevel="0" collapsed="false">
      <c r="A318" s="26"/>
      <c r="B318" s="25"/>
      <c r="C318" s="25"/>
      <c r="D318" s="25"/>
      <c r="E318" s="25"/>
      <c r="F318" s="25"/>
      <c r="G318" s="25"/>
      <c r="H318" s="25"/>
      <c r="I318" s="25"/>
      <c r="J318" s="25"/>
    </row>
    <row r="319" customFormat="false" ht="15" hidden="false" customHeight="false" outlineLevel="0" collapsed="false">
      <c r="A319" s="26"/>
      <c r="B319" s="25"/>
      <c r="C319" s="25"/>
      <c r="D319" s="25"/>
      <c r="E319" s="25"/>
      <c r="F319" s="25"/>
      <c r="G319" s="25"/>
      <c r="H319" s="25"/>
      <c r="I319" s="25"/>
      <c r="J319" s="25"/>
    </row>
    <row r="320" customFormat="false" ht="15" hidden="false" customHeight="false" outlineLevel="0" collapsed="false">
      <c r="A320" s="26"/>
      <c r="B320" s="25"/>
      <c r="C320" s="25"/>
      <c r="D320" s="25"/>
      <c r="E320" s="25"/>
      <c r="F320" s="25"/>
      <c r="G320" s="25"/>
      <c r="H320" s="25"/>
      <c r="I320" s="25"/>
      <c r="J320" s="25"/>
    </row>
    <row r="321" customFormat="false" ht="15" hidden="false" customHeight="false" outlineLevel="0" collapsed="false">
      <c r="A321" s="26"/>
      <c r="B321" s="25"/>
      <c r="C321" s="25"/>
      <c r="D321" s="25"/>
      <c r="E321" s="25"/>
      <c r="F321" s="25"/>
      <c r="G321" s="25"/>
      <c r="H321" s="25"/>
      <c r="I321" s="25"/>
      <c r="J321" s="25"/>
    </row>
    <row r="322" customFormat="false" ht="15" hidden="false" customHeight="false" outlineLevel="0" collapsed="false">
      <c r="A322" s="26"/>
      <c r="B322" s="25"/>
      <c r="C322" s="25"/>
      <c r="D322" s="25"/>
      <c r="E322" s="25"/>
      <c r="F322" s="25"/>
      <c r="G322" s="25"/>
      <c r="H322" s="25"/>
      <c r="I322" s="25"/>
      <c r="J322" s="25"/>
    </row>
    <row r="323" customFormat="false" ht="15" hidden="false" customHeight="false" outlineLevel="0" collapsed="false">
      <c r="A323" s="26"/>
      <c r="B323" s="25"/>
      <c r="C323" s="25"/>
      <c r="D323" s="25"/>
      <c r="E323" s="25"/>
      <c r="F323" s="25"/>
      <c r="G323" s="25"/>
      <c r="H323" s="25"/>
      <c r="I323" s="25"/>
      <c r="J323" s="25"/>
    </row>
    <row r="324" customFormat="false" ht="15" hidden="false" customHeight="false" outlineLevel="0" collapsed="false">
      <c r="A324" s="26"/>
      <c r="B324" s="25"/>
      <c r="C324" s="25"/>
      <c r="D324" s="25"/>
      <c r="E324" s="25"/>
      <c r="F324" s="25"/>
      <c r="G324" s="25"/>
      <c r="H324" s="25"/>
      <c r="I324" s="25"/>
      <c r="J324" s="25"/>
    </row>
    <row r="325" customFormat="false" ht="15" hidden="false" customHeight="false" outlineLevel="0" collapsed="false">
      <c r="A325" s="26"/>
      <c r="B325" s="25"/>
      <c r="C325" s="25"/>
      <c r="D325" s="25"/>
      <c r="E325" s="25"/>
      <c r="F325" s="25"/>
      <c r="G325" s="25"/>
      <c r="H325" s="25"/>
      <c r="I325" s="25"/>
      <c r="J325" s="25"/>
    </row>
    <row r="326" customFormat="false" ht="15" hidden="false" customHeight="false" outlineLevel="0" collapsed="false">
      <c r="A326" s="26"/>
      <c r="B326" s="25"/>
      <c r="C326" s="25"/>
      <c r="D326" s="25"/>
      <c r="E326" s="25"/>
      <c r="F326" s="25"/>
      <c r="G326" s="25"/>
      <c r="H326" s="25"/>
      <c r="I326" s="25"/>
      <c r="J326" s="25"/>
    </row>
    <row r="327" customFormat="false" ht="15" hidden="false" customHeight="false" outlineLevel="0" collapsed="false">
      <c r="A327" s="26"/>
      <c r="B327" s="25"/>
      <c r="C327" s="25"/>
      <c r="D327" s="25"/>
      <c r="E327" s="25"/>
      <c r="F327" s="25"/>
      <c r="G327" s="25"/>
      <c r="H327" s="25"/>
      <c r="I327" s="25"/>
      <c r="J327" s="25"/>
    </row>
    <row r="328" customFormat="false" ht="15" hidden="false" customHeight="false" outlineLevel="0" collapsed="false">
      <c r="A328" s="26"/>
      <c r="B328" s="25"/>
      <c r="C328" s="25"/>
      <c r="D328" s="25"/>
      <c r="E328" s="25"/>
      <c r="F328" s="25"/>
      <c r="G328" s="25"/>
      <c r="H328" s="25"/>
      <c r="I328" s="25"/>
      <c r="J328" s="25"/>
    </row>
    <row r="329" customFormat="false" ht="15" hidden="false" customHeight="false" outlineLevel="0" collapsed="false">
      <c r="A329" s="26"/>
      <c r="B329" s="25"/>
      <c r="C329" s="25"/>
      <c r="D329" s="25"/>
      <c r="E329" s="25"/>
      <c r="F329" s="25"/>
      <c r="G329" s="25"/>
      <c r="H329" s="25"/>
      <c r="I329" s="25"/>
      <c r="J329" s="25"/>
    </row>
    <row r="330" customFormat="false" ht="15" hidden="false" customHeight="false" outlineLevel="0" collapsed="false">
      <c r="A330" s="26"/>
      <c r="B330" s="25"/>
      <c r="C330" s="25"/>
      <c r="D330" s="25"/>
      <c r="E330" s="25"/>
      <c r="F330" s="25"/>
      <c r="G330" s="25"/>
      <c r="H330" s="25"/>
      <c r="I330" s="25"/>
      <c r="J330" s="25"/>
    </row>
    <row r="331" customFormat="false" ht="15" hidden="false" customHeight="false" outlineLevel="0" collapsed="false">
      <c r="A331" s="26"/>
      <c r="B331" s="25"/>
      <c r="C331" s="25"/>
      <c r="D331" s="25"/>
      <c r="E331" s="25"/>
      <c r="F331" s="25"/>
      <c r="G331" s="25"/>
      <c r="H331" s="25"/>
      <c r="I331" s="25"/>
      <c r="J331" s="25"/>
    </row>
    <row r="332" customFormat="false" ht="15" hidden="false" customHeight="false" outlineLevel="0" collapsed="false">
      <c r="A332" s="26"/>
      <c r="B332" s="25"/>
      <c r="C332" s="25"/>
      <c r="D332" s="25"/>
      <c r="E332" s="25"/>
      <c r="F332" s="25"/>
      <c r="G332" s="25"/>
      <c r="H332" s="25"/>
      <c r="I332" s="25"/>
      <c r="J332" s="25"/>
    </row>
    <row r="333" customFormat="false" ht="15" hidden="false" customHeight="false" outlineLevel="0" collapsed="false">
      <c r="A333" s="26"/>
      <c r="B333" s="25"/>
      <c r="C333" s="25"/>
      <c r="D333" s="25"/>
      <c r="E333" s="25"/>
      <c r="F333" s="25"/>
      <c r="G333" s="25"/>
      <c r="H333" s="25"/>
      <c r="I333" s="25"/>
      <c r="J333" s="25"/>
    </row>
    <row r="334" customFormat="false" ht="15" hidden="false" customHeight="false" outlineLevel="0" collapsed="false">
      <c r="A334" s="26"/>
      <c r="B334" s="25"/>
      <c r="C334" s="25"/>
      <c r="D334" s="25"/>
      <c r="E334" s="25"/>
      <c r="F334" s="25"/>
      <c r="G334" s="25"/>
      <c r="H334" s="25"/>
      <c r="I334" s="25"/>
      <c r="J334" s="25"/>
    </row>
    <row r="335" customFormat="false" ht="15" hidden="false" customHeight="false" outlineLevel="0" collapsed="false">
      <c r="A335" s="26"/>
      <c r="B335" s="25"/>
      <c r="C335" s="25"/>
      <c r="D335" s="25"/>
      <c r="E335" s="25"/>
      <c r="F335" s="25"/>
      <c r="G335" s="25"/>
      <c r="H335" s="25"/>
      <c r="I335" s="25"/>
      <c r="J335" s="25"/>
    </row>
    <row r="336" customFormat="false" ht="15" hidden="false" customHeight="false" outlineLevel="0" collapsed="false">
      <c r="A336" s="26"/>
      <c r="B336" s="25"/>
      <c r="C336" s="25"/>
      <c r="D336" s="25"/>
      <c r="E336" s="25"/>
      <c r="F336" s="25"/>
      <c r="G336" s="25"/>
      <c r="H336" s="25"/>
      <c r="I336" s="25"/>
      <c r="J336" s="25"/>
    </row>
    <row r="337" customFormat="false" ht="15" hidden="false" customHeight="false" outlineLevel="0" collapsed="false">
      <c r="A337" s="26"/>
      <c r="B337" s="25"/>
      <c r="C337" s="25"/>
      <c r="D337" s="25"/>
      <c r="E337" s="25"/>
      <c r="F337" s="25"/>
      <c r="G337" s="25"/>
      <c r="H337" s="25"/>
      <c r="I337" s="25"/>
      <c r="J337" s="25"/>
    </row>
    <row r="338" customFormat="false" ht="15" hidden="false" customHeight="false" outlineLevel="0" collapsed="false">
      <c r="A338" s="26"/>
      <c r="B338" s="25"/>
      <c r="C338" s="25"/>
      <c r="D338" s="25"/>
      <c r="E338" s="25"/>
      <c r="F338" s="25"/>
      <c r="G338" s="25"/>
      <c r="H338" s="25"/>
      <c r="I338" s="25"/>
      <c r="J338" s="25"/>
    </row>
    <row r="339" customFormat="false" ht="15" hidden="false" customHeight="false" outlineLevel="0" collapsed="false">
      <c r="A339" s="26"/>
      <c r="B339" s="25"/>
      <c r="C339" s="25"/>
      <c r="D339" s="25"/>
      <c r="E339" s="25"/>
      <c r="F339" s="25"/>
      <c r="G339" s="25"/>
      <c r="H339" s="25"/>
      <c r="I339" s="25"/>
      <c r="J339" s="25"/>
    </row>
    <row r="340" customFormat="false" ht="15" hidden="false" customHeight="false" outlineLevel="0" collapsed="false">
      <c r="A340" s="26"/>
      <c r="B340" s="25"/>
      <c r="C340" s="25"/>
      <c r="D340" s="25"/>
      <c r="E340" s="25"/>
      <c r="F340" s="25"/>
      <c r="G340" s="25"/>
      <c r="H340" s="25"/>
      <c r="I340" s="25"/>
      <c r="J340" s="25"/>
    </row>
    <row r="341" customFormat="false" ht="15" hidden="false" customHeight="false" outlineLevel="0" collapsed="false">
      <c r="A341" s="26"/>
      <c r="B341" s="25"/>
      <c r="C341" s="25"/>
      <c r="D341" s="25"/>
      <c r="E341" s="25"/>
      <c r="F341" s="25"/>
      <c r="G341" s="25"/>
      <c r="H341" s="25"/>
      <c r="I341" s="25"/>
      <c r="J341" s="25"/>
    </row>
    <row r="342" customFormat="false" ht="15" hidden="false" customHeight="false" outlineLevel="0" collapsed="false">
      <c r="A342" s="26"/>
      <c r="B342" s="25"/>
      <c r="C342" s="25"/>
      <c r="D342" s="25"/>
      <c r="E342" s="25"/>
      <c r="F342" s="25"/>
      <c r="G342" s="25"/>
      <c r="H342" s="25"/>
      <c r="I342" s="25"/>
      <c r="J342" s="25"/>
    </row>
    <row r="343" customFormat="false" ht="15" hidden="false" customHeight="false" outlineLevel="0" collapsed="false">
      <c r="A343" s="26"/>
      <c r="B343" s="25"/>
      <c r="C343" s="25"/>
      <c r="D343" s="25"/>
      <c r="E343" s="25"/>
      <c r="F343" s="25"/>
      <c r="G343" s="25"/>
      <c r="H343" s="25"/>
      <c r="I343" s="25"/>
      <c r="J343" s="25"/>
    </row>
    <row r="344" customFormat="false" ht="15" hidden="false" customHeight="false" outlineLevel="0" collapsed="false">
      <c r="A344" s="26"/>
      <c r="B344" s="25"/>
      <c r="C344" s="25"/>
      <c r="D344" s="25"/>
      <c r="E344" s="25"/>
      <c r="F344" s="25"/>
      <c r="G344" s="25"/>
      <c r="H344" s="25"/>
      <c r="I344" s="25"/>
      <c r="J344" s="25"/>
    </row>
    <row r="345" customFormat="false" ht="15" hidden="false" customHeight="false" outlineLevel="0" collapsed="false">
      <c r="A345" s="26"/>
      <c r="B345" s="25"/>
      <c r="C345" s="25"/>
      <c r="D345" s="25"/>
      <c r="E345" s="25"/>
      <c r="F345" s="25"/>
      <c r="G345" s="25"/>
      <c r="H345" s="25"/>
      <c r="I345" s="25"/>
      <c r="J345" s="25"/>
    </row>
    <row r="346" customFormat="false" ht="15" hidden="false" customHeight="false" outlineLevel="0" collapsed="false">
      <c r="A346" s="26"/>
      <c r="B346" s="25"/>
      <c r="C346" s="25"/>
      <c r="D346" s="25"/>
      <c r="E346" s="25"/>
      <c r="F346" s="25"/>
      <c r="G346" s="25"/>
      <c r="H346" s="25"/>
      <c r="I346" s="25"/>
      <c r="J346" s="25"/>
    </row>
    <row r="347" customFormat="false" ht="15" hidden="false" customHeight="false" outlineLevel="0" collapsed="false">
      <c r="A347" s="26"/>
      <c r="B347" s="25"/>
      <c r="C347" s="25"/>
      <c r="D347" s="25"/>
      <c r="E347" s="25"/>
      <c r="F347" s="25"/>
      <c r="G347" s="25"/>
      <c r="H347" s="25"/>
      <c r="I347" s="25"/>
      <c r="J347" s="25"/>
    </row>
    <row r="348" customFormat="false" ht="15" hidden="false" customHeight="false" outlineLevel="0" collapsed="false">
      <c r="A348" s="26"/>
      <c r="B348" s="25"/>
      <c r="C348" s="25"/>
      <c r="D348" s="25"/>
      <c r="E348" s="25"/>
      <c r="F348" s="25"/>
      <c r="G348" s="25"/>
      <c r="H348" s="25"/>
      <c r="I348" s="25"/>
      <c r="J348" s="25"/>
    </row>
    <row r="349" customFormat="false" ht="15" hidden="false" customHeight="false" outlineLevel="0" collapsed="false">
      <c r="A349" s="26"/>
      <c r="B349" s="25"/>
      <c r="C349" s="25"/>
      <c r="D349" s="25"/>
      <c r="E349" s="25"/>
      <c r="F349" s="25"/>
      <c r="G349" s="25"/>
      <c r="H349" s="25"/>
      <c r="I349" s="25"/>
      <c r="J349" s="25"/>
    </row>
    <row r="350" customFormat="false" ht="15" hidden="false" customHeight="false" outlineLevel="0" collapsed="false">
      <c r="A350" s="26"/>
      <c r="B350" s="25"/>
      <c r="C350" s="25"/>
      <c r="D350" s="25"/>
      <c r="E350" s="25"/>
      <c r="F350" s="25"/>
      <c r="G350" s="25"/>
      <c r="H350" s="25"/>
      <c r="I350" s="25"/>
      <c r="J350" s="25"/>
    </row>
    <row r="351" customFormat="false" ht="15" hidden="false" customHeight="false" outlineLevel="0" collapsed="false">
      <c r="A351" s="26"/>
      <c r="B351" s="25"/>
      <c r="C351" s="25"/>
      <c r="D351" s="25"/>
      <c r="E351" s="25"/>
      <c r="F351" s="25"/>
      <c r="G351" s="25"/>
      <c r="H351" s="25"/>
      <c r="I351" s="25"/>
      <c r="J351" s="25"/>
    </row>
    <row r="352" customFormat="false" ht="15" hidden="false" customHeight="false" outlineLevel="0" collapsed="false">
      <c r="A352" s="26"/>
      <c r="B352" s="25"/>
      <c r="C352" s="25"/>
      <c r="D352" s="25"/>
      <c r="E352" s="25"/>
      <c r="F352" s="25"/>
      <c r="G352" s="25"/>
      <c r="H352" s="25"/>
      <c r="I352" s="25"/>
      <c r="J352" s="25"/>
    </row>
    <row r="353" customFormat="false" ht="15" hidden="false" customHeight="false" outlineLevel="0" collapsed="false">
      <c r="A353" s="26"/>
      <c r="B353" s="25"/>
      <c r="C353" s="25"/>
      <c r="D353" s="25"/>
      <c r="E353" s="25"/>
      <c r="F353" s="25"/>
      <c r="G353" s="25"/>
      <c r="H353" s="25"/>
      <c r="I353" s="25"/>
      <c r="J353" s="25"/>
    </row>
    <row r="354" customFormat="false" ht="15" hidden="false" customHeight="false" outlineLevel="0" collapsed="false">
      <c r="A354" s="26"/>
      <c r="B354" s="25"/>
      <c r="C354" s="25"/>
      <c r="D354" s="25"/>
      <c r="E354" s="25"/>
      <c r="F354" s="25"/>
      <c r="G354" s="25"/>
      <c r="H354" s="25"/>
      <c r="I354" s="25"/>
      <c r="J354" s="25"/>
    </row>
    <row r="355" customFormat="false" ht="15" hidden="false" customHeight="false" outlineLevel="0" collapsed="false">
      <c r="A355" s="26"/>
      <c r="B355" s="25"/>
      <c r="C355" s="25"/>
      <c r="D355" s="25"/>
      <c r="E355" s="25"/>
      <c r="F355" s="25"/>
      <c r="G355" s="25"/>
      <c r="H355" s="25"/>
      <c r="I355" s="25"/>
      <c r="J355" s="25"/>
    </row>
    <row r="356" customFormat="false" ht="15" hidden="false" customHeight="false" outlineLevel="0" collapsed="false">
      <c r="A356" s="26"/>
      <c r="B356" s="25"/>
      <c r="C356" s="25"/>
      <c r="D356" s="25"/>
      <c r="E356" s="25"/>
      <c r="F356" s="25"/>
      <c r="G356" s="25"/>
      <c r="H356" s="25"/>
      <c r="I356" s="25"/>
      <c r="J356" s="25"/>
    </row>
    <row r="357" customFormat="false" ht="15" hidden="false" customHeight="false" outlineLevel="0" collapsed="false">
      <c r="A357" s="26"/>
      <c r="B357" s="25"/>
      <c r="C357" s="25"/>
      <c r="D357" s="25"/>
      <c r="E357" s="25"/>
      <c r="F357" s="25"/>
      <c r="G357" s="25"/>
      <c r="H357" s="25"/>
      <c r="I357" s="25"/>
      <c r="J357" s="25"/>
    </row>
    <row r="358" customFormat="false" ht="15" hidden="false" customHeight="false" outlineLevel="0" collapsed="false">
      <c r="A358" s="26"/>
      <c r="B358" s="25"/>
      <c r="C358" s="25"/>
      <c r="D358" s="25"/>
      <c r="E358" s="25"/>
      <c r="F358" s="25"/>
      <c r="G358" s="25"/>
      <c r="H358" s="25"/>
      <c r="I358" s="25"/>
      <c r="J358" s="25"/>
    </row>
    <row r="359" customFormat="false" ht="15" hidden="false" customHeight="false" outlineLevel="0" collapsed="false">
      <c r="A359" s="26"/>
      <c r="B359" s="25"/>
      <c r="C359" s="25"/>
      <c r="D359" s="25"/>
      <c r="E359" s="25"/>
      <c r="F359" s="25"/>
      <c r="G359" s="25"/>
      <c r="H359" s="25"/>
      <c r="I359" s="25"/>
      <c r="J359" s="25"/>
    </row>
    <row r="360" customFormat="false" ht="15" hidden="false" customHeight="false" outlineLevel="0" collapsed="false">
      <c r="A360" s="26"/>
      <c r="B360" s="25"/>
      <c r="C360" s="25"/>
      <c r="D360" s="25"/>
      <c r="E360" s="25"/>
      <c r="F360" s="25"/>
      <c r="G360" s="25"/>
      <c r="H360" s="25"/>
      <c r="I360" s="25"/>
      <c r="J360" s="25"/>
    </row>
    <row r="361" customFormat="false" ht="15" hidden="false" customHeight="false" outlineLevel="0" collapsed="false">
      <c r="A361" s="26"/>
      <c r="B361" s="25"/>
      <c r="C361" s="25"/>
      <c r="D361" s="25"/>
      <c r="E361" s="25"/>
      <c r="F361" s="25"/>
      <c r="G361" s="25"/>
      <c r="H361" s="25"/>
      <c r="I361" s="25"/>
      <c r="J361" s="25"/>
    </row>
    <row r="362" customFormat="false" ht="15" hidden="false" customHeight="false" outlineLevel="0" collapsed="false">
      <c r="A362" s="26"/>
      <c r="B362" s="25"/>
      <c r="C362" s="25"/>
      <c r="D362" s="25"/>
      <c r="E362" s="25"/>
      <c r="F362" s="25"/>
      <c r="G362" s="25"/>
      <c r="H362" s="25"/>
      <c r="I362" s="25"/>
      <c r="J362" s="25"/>
    </row>
    <row r="363" customFormat="false" ht="15" hidden="false" customHeight="false" outlineLevel="0" collapsed="false">
      <c r="A363" s="26"/>
      <c r="B363" s="25"/>
      <c r="C363" s="25"/>
      <c r="D363" s="25"/>
      <c r="E363" s="25"/>
      <c r="F363" s="25"/>
      <c r="G363" s="25"/>
      <c r="H363" s="25"/>
      <c r="I363" s="25"/>
      <c r="J363" s="25"/>
    </row>
    <row r="364" customFormat="false" ht="15" hidden="false" customHeight="false" outlineLevel="0" collapsed="false">
      <c r="A364" s="26"/>
      <c r="B364" s="25"/>
      <c r="C364" s="25"/>
      <c r="D364" s="25"/>
      <c r="E364" s="25"/>
      <c r="F364" s="25"/>
      <c r="G364" s="25"/>
      <c r="H364" s="25"/>
      <c r="I364" s="25"/>
      <c r="J364" s="25"/>
    </row>
    <row r="365" customFormat="false" ht="15" hidden="false" customHeight="false" outlineLevel="0" collapsed="false">
      <c r="A365" s="26"/>
      <c r="B365" s="25"/>
      <c r="C365" s="25"/>
      <c r="D365" s="25"/>
      <c r="E365" s="25"/>
      <c r="F365" s="25"/>
      <c r="G365" s="25"/>
      <c r="H365" s="25"/>
      <c r="I365" s="25"/>
      <c r="J365" s="25"/>
    </row>
    <row r="366" customFormat="false" ht="15" hidden="false" customHeight="false" outlineLevel="0" collapsed="false">
      <c r="A366" s="26"/>
      <c r="B366" s="25"/>
      <c r="C366" s="25"/>
      <c r="D366" s="25"/>
      <c r="E366" s="25"/>
      <c r="F366" s="25"/>
      <c r="G366" s="25"/>
      <c r="H366" s="25"/>
      <c r="I366" s="25"/>
      <c r="J366" s="25"/>
    </row>
    <row r="367" customFormat="false" ht="15" hidden="false" customHeight="false" outlineLevel="0" collapsed="false">
      <c r="A367" s="26"/>
      <c r="B367" s="25"/>
      <c r="C367" s="25"/>
      <c r="D367" s="25"/>
      <c r="E367" s="25"/>
      <c r="F367" s="25"/>
      <c r="G367" s="25"/>
      <c r="H367" s="25"/>
      <c r="I367" s="25"/>
      <c r="J367" s="25"/>
    </row>
    <row r="368" customFormat="false" ht="15" hidden="false" customHeight="false" outlineLevel="0" collapsed="false">
      <c r="A368" s="26"/>
      <c r="B368" s="25"/>
      <c r="C368" s="25"/>
      <c r="D368" s="25"/>
      <c r="E368" s="25"/>
      <c r="F368" s="25"/>
      <c r="G368" s="25"/>
      <c r="H368" s="25"/>
      <c r="I368" s="25"/>
      <c r="J368" s="25"/>
    </row>
    <row r="369" customFormat="false" ht="15" hidden="false" customHeight="false" outlineLevel="0" collapsed="false">
      <c r="A369" s="26"/>
      <c r="B369" s="25"/>
      <c r="C369" s="25"/>
      <c r="D369" s="25"/>
      <c r="E369" s="25"/>
      <c r="F369" s="25"/>
      <c r="G369" s="25"/>
      <c r="H369" s="25"/>
      <c r="I369" s="25"/>
      <c r="J369" s="25"/>
    </row>
    <row r="370" customFormat="false" ht="15" hidden="false" customHeight="false" outlineLevel="0" collapsed="false">
      <c r="A370" s="26"/>
      <c r="B370" s="25"/>
      <c r="C370" s="25"/>
      <c r="D370" s="25"/>
      <c r="E370" s="25"/>
      <c r="F370" s="25"/>
      <c r="G370" s="25"/>
      <c r="H370" s="25"/>
      <c r="I370" s="25"/>
      <c r="J370" s="25"/>
    </row>
    <row r="371" customFormat="false" ht="15" hidden="false" customHeight="false" outlineLevel="0" collapsed="false">
      <c r="A371" s="26"/>
      <c r="B371" s="25"/>
      <c r="C371" s="25"/>
      <c r="D371" s="25"/>
      <c r="E371" s="25"/>
      <c r="F371" s="25"/>
      <c r="G371" s="25"/>
      <c r="H371" s="25"/>
      <c r="I371" s="25"/>
      <c r="J371" s="25"/>
    </row>
    <row r="372" customFormat="false" ht="15" hidden="false" customHeight="false" outlineLevel="0" collapsed="false">
      <c r="A372" s="26"/>
      <c r="B372" s="25"/>
      <c r="C372" s="25"/>
      <c r="D372" s="25"/>
      <c r="E372" s="25"/>
      <c r="F372" s="25"/>
      <c r="G372" s="25"/>
      <c r="H372" s="25"/>
      <c r="I372" s="25"/>
      <c r="J372" s="25"/>
    </row>
    <row r="373" customFormat="false" ht="15" hidden="false" customHeight="false" outlineLevel="0" collapsed="false">
      <c r="A373" s="26"/>
      <c r="B373" s="25"/>
      <c r="C373" s="25"/>
      <c r="D373" s="25"/>
      <c r="E373" s="25"/>
      <c r="F373" s="25"/>
      <c r="G373" s="25"/>
      <c r="H373" s="25"/>
      <c r="I373" s="25"/>
      <c r="J373" s="25"/>
    </row>
    <row r="374" customFormat="false" ht="15" hidden="false" customHeight="false" outlineLevel="0" collapsed="false">
      <c r="A374" s="26"/>
      <c r="B374" s="25"/>
      <c r="C374" s="25"/>
      <c r="D374" s="25"/>
      <c r="E374" s="25"/>
      <c r="F374" s="25"/>
      <c r="G374" s="25"/>
      <c r="H374" s="25"/>
      <c r="I374" s="25"/>
      <c r="J374" s="25"/>
    </row>
    <row r="375" customFormat="false" ht="15" hidden="false" customHeight="false" outlineLevel="0" collapsed="false">
      <c r="A375" s="26"/>
      <c r="B375" s="25"/>
      <c r="C375" s="25"/>
      <c r="D375" s="25"/>
      <c r="E375" s="25"/>
      <c r="F375" s="25"/>
      <c r="G375" s="25"/>
      <c r="H375" s="25"/>
      <c r="I375" s="25"/>
      <c r="J375" s="25"/>
    </row>
    <row r="376" customFormat="false" ht="15" hidden="false" customHeight="false" outlineLevel="0" collapsed="false">
      <c r="A376" s="26"/>
      <c r="B376" s="25"/>
      <c r="C376" s="25"/>
      <c r="D376" s="25"/>
      <c r="E376" s="25"/>
      <c r="F376" s="25"/>
      <c r="G376" s="25"/>
      <c r="H376" s="25"/>
      <c r="I376" s="25"/>
      <c r="J376" s="25"/>
    </row>
    <row r="377" customFormat="false" ht="15" hidden="false" customHeight="false" outlineLevel="0" collapsed="false">
      <c r="A377" s="26"/>
      <c r="B377" s="25"/>
      <c r="C377" s="25"/>
      <c r="D377" s="25"/>
      <c r="E377" s="25"/>
      <c r="F377" s="25"/>
      <c r="G377" s="25"/>
      <c r="H377" s="25"/>
      <c r="I377" s="25"/>
      <c r="J377" s="25"/>
    </row>
    <row r="378" customFormat="false" ht="15" hidden="false" customHeight="false" outlineLevel="0" collapsed="false">
      <c r="A378" s="26"/>
      <c r="B378" s="25"/>
      <c r="C378" s="25"/>
      <c r="D378" s="25"/>
      <c r="E378" s="25"/>
      <c r="F378" s="25"/>
      <c r="G378" s="25"/>
      <c r="H378" s="25"/>
      <c r="I378" s="25"/>
      <c r="J378" s="25"/>
    </row>
    <row r="379" customFormat="false" ht="15" hidden="false" customHeight="false" outlineLevel="0" collapsed="false">
      <c r="A379" s="26"/>
      <c r="B379" s="25"/>
      <c r="C379" s="25"/>
      <c r="D379" s="25"/>
      <c r="E379" s="25"/>
      <c r="F379" s="25"/>
      <c r="G379" s="25"/>
      <c r="H379" s="25"/>
      <c r="I379" s="25"/>
      <c r="J379" s="25"/>
    </row>
    <row r="380" customFormat="false" ht="15" hidden="false" customHeight="false" outlineLevel="0" collapsed="false">
      <c r="A380" s="26"/>
      <c r="B380" s="25"/>
      <c r="C380" s="25"/>
      <c r="D380" s="25"/>
      <c r="E380" s="25"/>
      <c r="F380" s="25"/>
      <c r="G380" s="25"/>
      <c r="H380" s="25"/>
      <c r="I380" s="25"/>
      <c r="J380" s="25"/>
    </row>
    <row r="381" customFormat="false" ht="15" hidden="false" customHeight="false" outlineLevel="0" collapsed="false">
      <c r="A381" s="26"/>
      <c r="B381" s="25"/>
      <c r="C381" s="25"/>
      <c r="D381" s="25"/>
      <c r="E381" s="25"/>
      <c r="F381" s="25"/>
      <c r="G381" s="25"/>
      <c r="H381" s="25"/>
      <c r="I381" s="25"/>
      <c r="J381" s="25"/>
    </row>
    <row r="382" customFormat="false" ht="15" hidden="false" customHeight="false" outlineLevel="0" collapsed="false">
      <c r="A382" s="26"/>
      <c r="B382" s="25"/>
      <c r="C382" s="25"/>
      <c r="D382" s="25"/>
      <c r="E382" s="25"/>
      <c r="F382" s="25"/>
      <c r="G382" s="25"/>
      <c r="H382" s="25"/>
      <c r="I382" s="25"/>
      <c r="J382" s="25"/>
    </row>
    <row r="383" customFormat="false" ht="15" hidden="false" customHeight="false" outlineLevel="0" collapsed="false">
      <c r="A383" s="26"/>
      <c r="B383" s="25"/>
      <c r="C383" s="25"/>
      <c r="D383" s="25"/>
      <c r="E383" s="25"/>
      <c r="F383" s="25"/>
      <c r="G383" s="25"/>
      <c r="H383" s="25"/>
      <c r="I383" s="25"/>
      <c r="J383" s="25"/>
    </row>
    <row r="384" customFormat="false" ht="15" hidden="false" customHeight="false" outlineLevel="0" collapsed="false">
      <c r="A384" s="26"/>
      <c r="B384" s="25"/>
      <c r="C384" s="25"/>
      <c r="D384" s="25"/>
      <c r="E384" s="25"/>
      <c r="F384" s="25"/>
      <c r="G384" s="25"/>
      <c r="H384" s="25"/>
      <c r="I384" s="25"/>
      <c r="J384" s="25"/>
    </row>
    <row r="385" customFormat="false" ht="15" hidden="false" customHeight="false" outlineLevel="0" collapsed="false">
      <c r="A385" s="26"/>
      <c r="B385" s="25"/>
      <c r="C385" s="25"/>
      <c r="D385" s="25"/>
      <c r="E385" s="25"/>
      <c r="F385" s="25"/>
      <c r="G385" s="25"/>
      <c r="H385" s="25"/>
      <c r="I385" s="25"/>
      <c r="J385" s="25"/>
    </row>
    <row r="386" customFormat="false" ht="15" hidden="false" customHeight="false" outlineLevel="0" collapsed="false">
      <c r="A386" s="26"/>
      <c r="B386" s="25"/>
      <c r="C386" s="25"/>
      <c r="D386" s="25"/>
      <c r="E386" s="25"/>
      <c r="F386" s="25"/>
      <c r="G386" s="25"/>
      <c r="H386" s="25"/>
      <c r="I386" s="25"/>
      <c r="J386" s="25"/>
    </row>
    <row r="387" customFormat="false" ht="15" hidden="false" customHeight="false" outlineLevel="0" collapsed="false">
      <c r="A387" s="26"/>
      <c r="B387" s="25"/>
      <c r="C387" s="25"/>
      <c r="D387" s="25"/>
      <c r="E387" s="25"/>
      <c r="F387" s="25"/>
      <c r="G387" s="25"/>
      <c r="H387" s="25"/>
      <c r="I387" s="25"/>
      <c r="J387" s="25"/>
    </row>
    <row r="388" customFormat="false" ht="15" hidden="false" customHeight="false" outlineLevel="0" collapsed="false">
      <c r="A388" s="26"/>
      <c r="B388" s="25"/>
      <c r="C388" s="25"/>
      <c r="D388" s="25"/>
      <c r="E388" s="25"/>
      <c r="F388" s="25"/>
      <c r="G388" s="25"/>
      <c r="H388" s="25"/>
      <c r="I388" s="25"/>
      <c r="J388" s="25"/>
    </row>
    <row r="389" customFormat="false" ht="15" hidden="false" customHeight="false" outlineLevel="0" collapsed="false">
      <c r="A389" s="26"/>
      <c r="B389" s="25"/>
      <c r="C389" s="25"/>
      <c r="D389" s="25"/>
      <c r="E389" s="25"/>
      <c r="F389" s="25"/>
      <c r="G389" s="25"/>
      <c r="H389" s="25"/>
      <c r="I389" s="25"/>
      <c r="J389" s="25"/>
    </row>
    <row r="390" customFormat="false" ht="15" hidden="false" customHeight="false" outlineLevel="0" collapsed="false">
      <c r="A390" s="26"/>
      <c r="B390" s="25"/>
      <c r="C390" s="25"/>
      <c r="D390" s="25"/>
      <c r="E390" s="25"/>
      <c r="F390" s="25"/>
      <c r="G390" s="25"/>
      <c r="H390" s="25"/>
      <c r="I390" s="25"/>
      <c r="J390" s="25"/>
    </row>
    <row r="391" customFormat="false" ht="15" hidden="false" customHeight="false" outlineLevel="0" collapsed="false">
      <c r="A391" s="26"/>
      <c r="B391" s="25"/>
      <c r="C391" s="25"/>
      <c r="D391" s="25"/>
      <c r="E391" s="25"/>
      <c r="F391" s="25"/>
      <c r="G391" s="25"/>
      <c r="H391" s="25"/>
      <c r="I391" s="25"/>
      <c r="J391" s="25"/>
    </row>
    <row r="392" customFormat="false" ht="15" hidden="false" customHeight="false" outlineLevel="0" collapsed="false">
      <c r="A392" s="26"/>
      <c r="B392" s="25"/>
      <c r="C392" s="25"/>
      <c r="D392" s="25"/>
      <c r="E392" s="25"/>
      <c r="F392" s="25"/>
      <c r="G392" s="25"/>
      <c r="H392" s="25"/>
      <c r="I392" s="25"/>
      <c r="J392" s="25"/>
    </row>
    <row r="393" customFormat="false" ht="15" hidden="false" customHeight="false" outlineLevel="0" collapsed="false">
      <c r="A393" s="26"/>
      <c r="B393" s="25"/>
      <c r="C393" s="25"/>
      <c r="D393" s="25"/>
      <c r="E393" s="25"/>
      <c r="F393" s="25"/>
      <c r="G393" s="25"/>
      <c r="H393" s="25"/>
      <c r="I393" s="25"/>
      <c r="J393" s="25"/>
    </row>
    <row r="394" customFormat="false" ht="15" hidden="false" customHeight="false" outlineLevel="0" collapsed="false">
      <c r="A394" s="26"/>
      <c r="B394" s="25"/>
      <c r="C394" s="25"/>
      <c r="D394" s="25"/>
      <c r="E394" s="25"/>
      <c r="F394" s="25"/>
      <c r="G394" s="25"/>
      <c r="H394" s="25"/>
      <c r="I394" s="25"/>
      <c r="J394" s="25"/>
    </row>
    <row r="395" customFormat="false" ht="15" hidden="false" customHeight="false" outlineLevel="0" collapsed="false">
      <c r="A395" s="26"/>
      <c r="B395" s="25"/>
      <c r="C395" s="25"/>
      <c r="D395" s="25"/>
      <c r="E395" s="25"/>
      <c r="F395" s="25"/>
      <c r="G395" s="25"/>
      <c r="H395" s="25"/>
      <c r="I395" s="25"/>
      <c r="J395" s="25"/>
    </row>
    <row r="396" customFormat="false" ht="15" hidden="false" customHeight="false" outlineLevel="0" collapsed="false">
      <c r="A396" s="26"/>
      <c r="B396" s="25"/>
      <c r="C396" s="25"/>
      <c r="D396" s="25"/>
      <c r="E396" s="25"/>
      <c r="F396" s="25"/>
      <c r="G396" s="25"/>
      <c r="H396" s="25"/>
      <c r="I396" s="25"/>
      <c r="J396" s="25"/>
    </row>
    <row r="397" customFormat="false" ht="15" hidden="false" customHeight="false" outlineLevel="0" collapsed="false">
      <c r="A397" s="26"/>
      <c r="B397" s="25"/>
      <c r="C397" s="25"/>
      <c r="D397" s="25"/>
      <c r="E397" s="25"/>
      <c r="F397" s="25"/>
      <c r="G397" s="25"/>
      <c r="H397" s="25"/>
      <c r="I397" s="25"/>
      <c r="J397" s="25"/>
    </row>
    <row r="398" customFormat="false" ht="15" hidden="false" customHeight="false" outlineLevel="0" collapsed="false">
      <c r="A398" s="26"/>
      <c r="B398" s="25"/>
      <c r="C398" s="25"/>
      <c r="D398" s="25"/>
      <c r="E398" s="25"/>
      <c r="F398" s="25"/>
      <c r="G398" s="25"/>
      <c r="H398" s="25"/>
      <c r="I398" s="25"/>
      <c r="J398" s="25"/>
    </row>
    <row r="399" customFormat="false" ht="15" hidden="false" customHeight="false" outlineLevel="0" collapsed="false">
      <c r="A399" s="26"/>
      <c r="B399" s="25"/>
      <c r="C399" s="25"/>
      <c r="D399" s="25"/>
      <c r="E399" s="25"/>
      <c r="F399" s="25"/>
      <c r="G399" s="25"/>
      <c r="H399" s="25"/>
      <c r="I399" s="25"/>
      <c r="J399" s="25"/>
    </row>
    <row r="400" customFormat="false" ht="15" hidden="false" customHeight="false" outlineLevel="0" collapsed="false">
      <c r="A400" s="26"/>
      <c r="B400" s="25"/>
      <c r="C400" s="25"/>
      <c r="D400" s="25"/>
      <c r="E400" s="25"/>
      <c r="F400" s="25"/>
      <c r="G400" s="25"/>
      <c r="H400" s="25"/>
      <c r="I400" s="25"/>
      <c r="J400" s="25"/>
    </row>
    <row r="401" customFormat="false" ht="15" hidden="false" customHeight="false" outlineLevel="0" collapsed="false">
      <c r="A401" s="26"/>
      <c r="B401" s="25"/>
      <c r="C401" s="25"/>
      <c r="D401" s="25"/>
      <c r="E401" s="25"/>
      <c r="F401" s="25"/>
      <c r="G401" s="25"/>
      <c r="H401" s="25"/>
      <c r="I401" s="25"/>
      <c r="J401" s="25"/>
    </row>
    <row r="402" customFormat="false" ht="15" hidden="false" customHeight="false" outlineLevel="0" collapsed="false">
      <c r="A402" s="26"/>
      <c r="B402" s="25"/>
      <c r="C402" s="25"/>
      <c r="D402" s="25"/>
      <c r="E402" s="25"/>
      <c r="F402" s="25"/>
      <c r="G402" s="25"/>
      <c r="H402" s="25"/>
      <c r="I402" s="25"/>
      <c r="J402" s="25"/>
    </row>
    <row r="403" customFormat="false" ht="15" hidden="false" customHeight="false" outlineLevel="0" collapsed="false">
      <c r="A403" s="26"/>
      <c r="B403" s="25"/>
      <c r="C403" s="25"/>
      <c r="D403" s="25"/>
      <c r="E403" s="25"/>
      <c r="F403" s="25"/>
      <c r="G403" s="25"/>
      <c r="H403" s="25"/>
      <c r="I403" s="25"/>
      <c r="J403" s="25"/>
    </row>
    <row r="404" customFormat="false" ht="15" hidden="false" customHeight="false" outlineLevel="0" collapsed="false">
      <c r="A404" s="26"/>
      <c r="B404" s="25"/>
      <c r="C404" s="25"/>
      <c r="D404" s="25"/>
      <c r="E404" s="25"/>
      <c r="F404" s="25"/>
      <c r="G404" s="25"/>
      <c r="H404" s="25"/>
      <c r="I404" s="25"/>
      <c r="J404" s="25"/>
    </row>
    <row r="405" customFormat="false" ht="15" hidden="false" customHeight="false" outlineLevel="0" collapsed="false">
      <c r="A405" s="26"/>
      <c r="B405" s="25"/>
      <c r="C405" s="25"/>
      <c r="D405" s="25"/>
      <c r="E405" s="25"/>
      <c r="F405" s="25"/>
      <c r="G405" s="25"/>
      <c r="H405" s="25"/>
      <c r="I405" s="25"/>
      <c r="J405" s="25"/>
    </row>
    <row r="406" customFormat="false" ht="15" hidden="false" customHeight="false" outlineLevel="0" collapsed="false">
      <c r="A406" s="26"/>
      <c r="B406" s="25"/>
      <c r="C406" s="25"/>
      <c r="D406" s="25"/>
      <c r="E406" s="25"/>
      <c r="F406" s="25"/>
      <c r="G406" s="25"/>
      <c r="H406" s="25"/>
      <c r="I406" s="25"/>
      <c r="J406" s="25"/>
    </row>
    <row r="407" customFormat="false" ht="15" hidden="false" customHeight="false" outlineLevel="0" collapsed="false">
      <c r="A407" s="26"/>
      <c r="B407" s="25"/>
      <c r="C407" s="25"/>
      <c r="D407" s="25"/>
      <c r="E407" s="25"/>
      <c r="F407" s="25"/>
      <c r="G407" s="25"/>
      <c r="H407" s="25"/>
      <c r="I407" s="25"/>
      <c r="J407" s="25"/>
    </row>
    <row r="408" customFormat="false" ht="15" hidden="false" customHeight="false" outlineLevel="0" collapsed="false">
      <c r="A408" s="26"/>
      <c r="B408" s="25"/>
      <c r="C408" s="25"/>
      <c r="D408" s="25"/>
      <c r="E408" s="25"/>
      <c r="F408" s="25"/>
      <c r="G408" s="25"/>
      <c r="H408" s="25"/>
      <c r="I408" s="25"/>
      <c r="J408" s="25"/>
    </row>
    <row r="409" customFormat="false" ht="15" hidden="false" customHeight="false" outlineLevel="0" collapsed="false">
      <c r="A409" s="26"/>
      <c r="B409" s="25"/>
      <c r="C409" s="25"/>
      <c r="D409" s="25"/>
      <c r="E409" s="25"/>
      <c r="F409" s="25"/>
      <c r="G409" s="25"/>
      <c r="H409" s="25"/>
      <c r="I409" s="25"/>
      <c r="J409" s="25"/>
    </row>
    <row r="410" customFormat="false" ht="15" hidden="false" customHeight="false" outlineLevel="0" collapsed="false">
      <c r="A410" s="26"/>
      <c r="B410" s="25"/>
      <c r="C410" s="25"/>
      <c r="D410" s="25"/>
      <c r="E410" s="25"/>
      <c r="F410" s="25"/>
      <c r="G410" s="25"/>
      <c r="H410" s="25"/>
      <c r="I410" s="25"/>
      <c r="J410" s="25"/>
    </row>
    <row r="411" customFormat="false" ht="15" hidden="false" customHeight="false" outlineLevel="0" collapsed="false">
      <c r="A411" s="26"/>
      <c r="B411" s="25"/>
      <c r="C411" s="25"/>
      <c r="D411" s="25"/>
      <c r="E411" s="25"/>
      <c r="F411" s="25"/>
      <c r="G411" s="25"/>
      <c r="H411" s="25"/>
      <c r="I411" s="25"/>
      <c r="J411" s="25"/>
    </row>
    <row r="412" customFormat="false" ht="15" hidden="false" customHeight="false" outlineLevel="0" collapsed="false">
      <c r="A412" s="26"/>
      <c r="B412" s="25"/>
      <c r="C412" s="25"/>
      <c r="D412" s="25"/>
      <c r="E412" s="25"/>
      <c r="F412" s="25"/>
      <c r="G412" s="25"/>
      <c r="H412" s="25"/>
      <c r="I412" s="25"/>
      <c r="J412" s="25"/>
    </row>
    <row r="413" customFormat="false" ht="15" hidden="false" customHeight="false" outlineLevel="0" collapsed="false">
      <c r="A413" s="26"/>
      <c r="B413" s="25"/>
      <c r="C413" s="25"/>
      <c r="D413" s="25"/>
      <c r="E413" s="25"/>
      <c r="F413" s="25"/>
      <c r="G413" s="25"/>
      <c r="H413" s="25"/>
      <c r="I413" s="25"/>
      <c r="J413" s="25"/>
    </row>
    <row r="414" customFormat="false" ht="15" hidden="false" customHeight="false" outlineLevel="0" collapsed="false">
      <c r="A414" s="26"/>
      <c r="B414" s="25"/>
      <c r="C414" s="25"/>
      <c r="D414" s="25"/>
      <c r="E414" s="25"/>
      <c r="F414" s="25"/>
      <c r="G414" s="25"/>
      <c r="H414" s="25"/>
      <c r="I414" s="25"/>
      <c r="J414" s="25"/>
    </row>
    <row r="415" customFormat="false" ht="15" hidden="false" customHeight="false" outlineLevel="0" collapsed="false">
      <c r="A415" s="26"/>
      <c r="B415" s="25"/>
      <c r="C415" s="25"/>
      <c r="D415" s="25"/>
      <c r="E415" s="25"/>
      <c r="F415" s="25"/>
      <c r="G415" s="25"/>
      <c r="H415" s="25"/>
      <c r="I415" s="25"/>
      <c r="J415" s="25"/>
    </row>
    <row r="416" customFormat="false" ht="15" hidden="false" customHeight="false" outlineLevel="0" collapsed="false">
      <c r="A416" s="26"/>
      <c r="B416" s="25"/>
      <c r="C416" s="25"/>
      <c r="D416" s="25"/>
      <c r="E416" s="25"/>
      <c r="F416" s="25"/>
      <c r="G416" s="25"/>
      <c r="H416" s="25"/>
      <c r="I416" s="25"/>
      <c r="J416" s="25"/>
    </row>
    <row r="417" customFormat="false" ht="15" hidden="false" customHeight="false" outlineLevel="0" collapsed="false">
      <c r="A417" s="26"/>
      <c r="B417" s="25"/>
      <c r="C417" s="25"/>
      <c r="D417" s="25"/>
      <c r="E417" s="25"/>
      <c r="F417" s="25"/>
      <c r="G417" s="25"/>
      <c r="H417" s="25"/>
      <c r="I417" s="25"/>
      <c r="J417" s="25"/>
    </row>
    <row r="418" customFormat="false" ht="15" hidden="false" customHeight="false" outlineLevel="0" collapsed="false">
      <c r="A418" s="26"/>
      <c r="B418" s="25"/>
      <c r="C418" s="25"/>
      <c r="D418" s="25"/>
      <c r="E418" s="25"/>
      <c r="F418" s="25"/>
      <c r="G418" s="25"/>
      <c r="H418" s="25"/>
      <c r="I418" s="25"/>
      <c r="J418" s="25"/>
    </row>
    <row r="419" customFormat="false" ht="15" hidden="false" customHeight="false" outlineLevel="0" collapsed="false">
      <c r="A419" s="26"/>
      <c r="B419" s="25"/>
      <c r="C419" s="25"/>
      <c r="D419" s="25"/>
      <c r="E419" s="25"/>
      <c r="F419" s="25"/>
      <c r="G419" s="25"/>
      <c r="H419" s="25"/>
      <c r="I419" s="25"/>
      <c r="J419" s="25"/>
    </row>
    <row r="420" customFormat="false" ht="15" hidden="false" customHeight="false" outlineLevel="0" collapsed="false">
      <c r="A420" s="26"/>
      <c r="B420" s="25"/>
      <c r="C420" s="25"/>
      <c r="D420" s="25"/>
      <c r="E420" s="25"/>
      <c r="F420" s="25"/>
      <c r="G420" s="25"/>
      <c r="H420" s="25"/>
      <c r="I420" s="25"/>
      <c r="J420" s="25"/>
    </row>
    <row r="421" customFormat="false" ht="15" hidden="false" customHeight="false" outlineLevel="0" collapsed="false">
      <c r="A421" s="26"/>
      <c r="B421" s="25"/>
      <c r="C421" s="25"/>
      <c r="D421" s="25"/>
      <c r="E421" s="25"/>
      <c r="F421" s="25"/>
      <c r="G421" s="25"/>
      <c r="H421" s="25"/>
      <c r="I421" s="25"/>
      <c r="J421" s="25"/>
    </row>
    <row r="422" customFormat="false" ht="15" hidden="false" customHeight="false" outlineLevel="0" collapsed="false">
      <c r="A422" s="26"/>
      <c r="B422" s="25"/>
      <c r="C422" s="25"/>
      <c r="D422" s="25"/>
      <c r="E422" s="25"/>
      <c r="F422" s="25"/>
      <c r="G422" s="25"/>
      <c r="H422" s="25"/>
      <c r="I422" s="25"/>
      <c r="J422" s="25"/>
    </row>
    <row r="423" customFormat="false" ht="15" hidden="false" customHeight="false" outlineLevel="0" collapsed="false">
      <c r="A423" s="26"/>
      <c r="B423" s="25"/>
      <c r="C423" s="25"/>
      <c r="D423" s="25"/>
      <c r="E423" s="25"/>
      <c r="F423" s="25"/>
      <c r="G423" s="25"/>
      <c r="H423" s="25"/>
      <c r="I423" s="25"/>
      <c r="J423" s="25"/>
    </row>
    <row r="424" customFormat="false" ht="15" hidden="false" customHeight="false" outlineLevel="0" collapsed="false">
      <c r="A424" s="26"/>
      <c r="B424" s="25"/>
      <c r="C424" s="25"/>
      <c r="D424" s="25"/>
      <c r="E424" s="25"/>
      <c r="F424" s="25"/>
      <c r="G424" s="25"/>
      <c r="H424" s="25"/>
      <c r="I424" s="25"/>
      <c r="J424" s="25"/>
    </row>
    <row r="425" customFormat="false" ht="15" hidden="false" customHeight="false" outlineLevel="0" collapsed="false">
      <c r="A425" s="26"/>
      <c r="B425" s="25"/>
      <c r="C425" s="25"/>
      <c r="D425" s="25"/>
      <c r="E425" s="25"/>
      <c r="F425" s="25"/>
      <c r="G425" s="25"/>
      <c r="H425" s="25"/>
      <c r="I425" s="25"/>
      <c r="J425" s="25"/>
    </row>
    <row r="426" customFormat="false" ht="15" hidden="false" customHeight="false" outlineLevel="0" collapsed="false">
      <c r="A426" s="26"/>
      <c r="B426" s="25"/>
      <c r="C426" s="25"/>
      <c r="D426" s="25"/>
      <c r="E426" s="25"/>
      <c r="F426" s="25"/>
      <c r="G426" s="25"/>
      <c r="H426" s="25"/>
      <c r="I426" s="25"/>
      <c r="J426" s="25"/>
    </row>
    <row r="427" customFormat="false" ht="15" hidden="false" customHeight="false" outlineLevel="0" collapsed="false">
      <c r="A427" s="26"/>
      <c r="B427" s="25"/>
      <c r="C427" s="25"/>
      <c r="D427" s="25"/>
      <c r="E427" s="25"/>
      <c r="F427" s="25"/>
      <c r="G427" s="25"/>
      <c r="H427" s="25"/>
      <c r="I427" s="25"/>
      <c r="J427" s="25"/>
    </row>
    <row r="428" customFormat="false" ht="15" hidden="false" customHeight="false" outlineLevel="0" collapsed="false">
      <c r="A428" s="26"/>
      <c r="B428" s="25"/>
      <c r="C428" s="25"/>
      <c r="D428" s="25"/>
      <c r="E428" s="25"/>
      <c r="F428" s="25"/>
      <c r="G428" s="25"/>
      <c r="H428" s="25"/>
      <c r="I428" s="25"/>
      <c r="J428" s="25"/>
    </row>
    <row r="429" customFormat="false" ht="15" hidden="false" customHeight="false" outlineLevel="0" collapsed="false">
      <c r="A429" s="26"/>
      <c r="B429" s="25"/>
      <c r="C429" s="25"/>
      <c r="D429" s="25"/>
      <c r="E429" s="25"/>
      <c r="F429" s="25"/>
      <c r="G429" s="25"/>
      <c r="H429" s="25"/>
      <c r="I429" s="25"/>
      <c r="J429" s="25"/>
    </row>
    <row r="430" customFormat="false" ht="15" hidden="false" customHeight="false" outlineLevel="0" collapsed="false">
      <c r="A430" s="26"/>
      <c r="B430" s="25"/>
      <c r="C430" s="25"/>
      <c r="D430" s="25"/>
      <c r="E430" s="25"/>
      <c r="F430" s="25"/>
      <c r="G430" s="25"/>
      <c r="H430" s="25"/>
      <c r="I430" s="25"/>
      <c r="J430" s="25"/>
    </row>
    <row r="431" customFormat="false" ht="15" hidden="false" customHeight="false" outlineLevel="0" collapsed="false">
      <c r="A431" s="26"/>
      <c r="B431" s="25"/>
      <c r="C431" s="25"/>
      <c r="D431" s="25"/>
      <c r="E431" s="25"/>
      <c r="F431" s="25"/>
      <c r="G431" s="25"/>
      <c r="H431" s="25"/>
      <c r="I431" s="25"/>
      <c r="J431" s="25"/>
    </row>
    <row r="432" customFormat="false" ht="15" hidden="false" customHeight="false" outlineLevel="0" collapsed="false">
      <c r="A432" s="26"/>
      <c r="B432" s="25"/>
      <c r="C432" s="25"/>
      <c r="D432" s="25"/>
      <c r="E432" s="25"/>
      <c r="F432" s="25"/>
      <c r="G432" s="25"/>
      <c r="H432" s="25"/>
      <c r="I432" s="25"/>
      <c r="J432" s="25"/>
    </row>
    <row r="433" customFormat="false" ht="15" hidden="false" customHeight="false" outlineLevel="0" collapsed="false">
      <c r="A433" s="26"/>
      <c r="B433" s="25"/>
      <c r="C433" s="25"/>
      <c r="D433" s="25"/>
      <c r="E433" s="25"/>
      <c r="F433" s="25"/>
      <c r="G433" s="25"/>
      <c r="H433" s="25"/>
      <c r="I433" s="25"/>
      <c r="J433" s="25"/>
    </row>
    <row r="434" customFormat="false" ht="15" hidden="false" customHeight="false" outlineLevel="0" collapsed="false">
      <c r="A434" s="26"/>
      <c r="B434" s="25"/>
      <c r="C434" s="25"/>
      <c r="D434" s="25"/>
      <c r="E434" s="25"/>
      <c r="F434" s="25"/>
      <c r="G434" s="25"/>
      <c r="H434" s="25"/>
      <c r="I434" s="25"/>
      <c r="J434" s="25"/>
    </row>
    <row r="435" customFormat="false" ht="15" hidden="false" customHeight="false" outlineLevel="0" collapsed="false">
      <c r="A435" s="26"/>
      <c r="B435" s="25"/>
      <c r="C435" s="25"/>
      <c r="D435" s="25"/>
      <c r="E435" s="25"/>
      <c r="F435" s="25"/>
      <c r="G435" s="25"/>
      <c r="H435" s="25"/>
      <c r="I435" s="25"/>
      <c r="J435" s="25"/>
    </row>
    <row r="436" customFormat="false" ht="15" hidden="false" customHeight="false" outlineLevel="0" collapsed="false">
      <c r="A436" s="26"/>
      <c r="B436" s="25"/>
      <c r="C436" s="25"/>
      <c r="D436" s="25"/>
      <c r="E436" s="25"/>
      <c r="F436" s="25"/>
      <c r="G436" s="25"/>
      <c r="H436" s="25"/>
      <c r="I436" s="25"/>
      <c r="J436" s="25"/>
    </row>
    <row r="437" customFormat="false" ht="15" hidden="false" customHeight="false" outlineLevel="0" collapsed="false">
      <c r="A437" s="26"/>
      <c r="B437" s="25"/>
      <c r="C437" s="25"/>
      <c r="D437" s="25"/>
      <c r="E437" s="25"/>
      <c r="F437" s="25"/>
      <c r="G437" s="25"/>
      <c r="H437" s="25"/>
      <c r="I437" s="25"/>
      <c r="J437" s="25"/>
    </row>
    <row r="438" customFormat="false" ht="15" hidden="false" customHeight="false" outlineLevel="0" collapsed="false">
      <c r="A438" s="26"/>
      <c r="B438" s="25"/>
      <c r="C438" s="25"/>
      <c r="D438" s="25"/>
      <c r="E438" s="25"/>
      <c r="F438" s="25"/>
      <c r="G438" s="25"/>
      <c r="H438" s="25"/>
      <c r="I438" s="25"/>
      <c r="J438" s="25"/>
    </row>
    <row r="439" customFormat="false" ht="15" hidden="false" customHeight="false" outlineLevel="0" collapsed="false">
      <c r="A439" s="26"/>
      <c r="B439" s="25"/>
      <c r="C439" s="25"/>
      <c r="D439" s="25"/>
      <c r="E439" s="25"/>
      <c r="F439" s="25"/>
      <c r="G439" s="25"/>
      <c r="H439" s="25"/>
      <c r="I439" s="25"/>
      <c r="J439" s="25"/>
    </row>
    <row r="440" customFormat="false" ht="15" hidden="false" customHeight="false" outlineLevel="0" collapsed="false">
      <c r="A440" s="26"/>
      <c r="B440" s="25"/>
      <c r="C440" s="25"/>
      <c r="D440" s="25"/>
      <c r="E440" s="25"/>
      <c r="F440" s="25"/>
      <c r="G440" s="25"/>
      <c r="H440" s="25"/>
      <c r="I440" s="25"/>
      <c r="J440" s="25"/>
    </row>
    <row r="441" customFormat="false" ht="15" hidden="false" customHeight="false" outlineLevel="0" collapsed="false">
      <c r="A441" s="26"/>
      <c r="B441" s="25"/>
      <c r="C441" s="25"/>
      <c r="D441" s="25"/>
      <c r="E441" s="25"/>
      <c r="F441" s="25"/>
      <c r="G441" s="25"/>
      <c r="H441" s="25"/>
      <c r="I441" s="25"/>
      <c r="J441" s="25"/>
    </row>
    <row r="442" customFormat="false" ht="15" hidden="false" customHeight="false" outlineLevel="0" collapsed="false">
      <c r="A442" s="26"/>
      <c r="B442" s="25"/>
      <c r="C442" s="25"/>
      <c r="D442" s="25"/>
      <c r="E442" s="25"/>
      <c r="F442" s="25"/>
      <c r="G442" s="25"/>
      <c r="H442" s="25"/>
      <c r="I442" s="25"/>
      <c r="J442" s="25"/>
    </row>
    <row r="443" customFormat="false" ht="15" hidden="false" customHeight="false" outlineLevel="0" collapsed="false">
      <c r="A443" s="26"/>
      <c r="B443" s="25"/>
      <c r="C443" s="25"/>
      <c r="D443" s="25"/>
      <c r="E443" s="25"/>
      <c r="F443" s="25"/>
      <c r="G443" s="25"/>
      <c r="H443" s="25"/>
      <c r="I443" s="25"/>
      <c r="J443" s="25"/>
    </row>
    <row r="444" customFormat="false" ht="15" hidden="false" customHeight="false" outlineLevel="0" collapsed="false">
      <c r="A444" s="26"/>
      <c r="B444" s="25"/>
      <c r="C444" s="25"/>
      <c r="D444" s="25"/>
      <c r="E444" s="25"/>
      <c r="F444" s="25"/>
      <c r="G444" s="25"/>
      <c r="H444" s="25"/>
      <c r="I444" s="25"/>
      <c r="J444" s="25"/>
    </row>
    <row r="445" customFormat="false" ht="15" hidden="false" customHeight="false" outlineLevel="0" collapsed="false">
      <c r="A445" s="26"/>
      <c r="B445" s="25"/>
      <c r="C445" s="25"/>
      <c r="D445" s="25"/>
      <c r="E445" s="25"/>
      <c r="F445" s="25"/>
      <c r="G445" s="25"/>
      <c r="H445" s="25"/>
      <c r="I445" s="25"/>
      <c r="J445" s="25"/>
    </row>
    <row r="446" customFormat="false" ht="15" hidden="false" customHeight="false" outlineLevel="0" collapsed="false">
      <c r="A446" s="26"/>
      <c r="B446" s="25"/>
      <c r="C446" s="25"/>
      <c r="D446" s="25"/>
      <c r="E446" s="25"/>
      <c r="F446" s="25"/>
      <c r="G446" s="25"/>
      <c r="H446" s="25"/>
      <c r="I446" s="25"/>
      <c r="J446" s="25"/>
    </row>
    <row r="447" customFormat="false" ht="15" hidden="false" customHeight="false" outlineLevel="0" collapsed="false">
      <c r="A447" s="26"/>
      <c r="B447" s="25"/>
      <c r="C447" s="25"/>
      <c r="D447" s="25"/>
      <c r="E447" s="25"/>
      <c r="F447" s="25"/>
      <c r="G447" s="25"/>
      <c r="H447" s="25"/>
      <c r="I447" s="25"/>
      <c r="J447" s="25"/>
    </row>
    <row r="448" customFormat="false" ht="15" hidden="false" customHeight="false" outlineLevel="0" collapsed="false">
      <c r="A448" s="26"/>
      <c r="B448" s="25"/>
      <c r="C448" s="25"/>
      <c r="D448" s="25"/>
      <c r="E448" s="25"/>
      <c r="F448" s="25"/>
      <c r="G448" s="25"/>
      <c r="H448" s="25"/>
      <c r="I448" s="25"/>
      <c r="J448" s="25"/>
    </row>
    <row r="449" customFormat="false" ht="15" hidden="false" customHeight="false" outlineLevel="0" collapsed="false">
      <c r="A449" s="26"/>
      <c r="B449" s="25"/>
      <c r="C449" s="25"/>
      <c r="D449" s="25"/>
      <c r="E449" s="25"/>
      <c r="F449" s="25"/>
      <c r="G449" s="25"/>
      <c r="H449" s="25"/>
      <c r="I449" s="25"/>
      <c r="J449" s="25"/>
    </row>
    <row r="450" customFormat="false" ht="15" hidden="false" customHeight="false" outlineLevel="0" collapsed="false">
      <c r="A450" s="26"/>
      <c r="B450" s="25"/>
      <c r="C450" s="25"/>
      <c r="D450" s="25"/>
      <c r="E450" s="25"/>
      <c r="F450" s="25"/>
      <c r="G450" s="25"/>
      <c r="H450" s="25"/>
      <c r="I450" s="25"/>
      <c r="J450" s="25"/>
    </row>
    <row r="451" customFormat="false" ht="15" hidden="false" customHeight="false" outlineLevel="0" collapsed="false">
      <c r="A451" s="26"/>
      <c r="B451" s="25"/>
      <c r="C451" s="25"/>
      <c r="D451" s="25"/>
      <c r="E451" s="25"/>
      <c r="F451" s="25"/>
      <c r="G451" s="25"/>
      <c r="H451" s="25"/>
      <c r="I451" s="25"/>
      <c r="J451" s="25"/>
    </row>
    <row r="452" customFormat="false" ht="15" hidden="false" customHeight="false" outlineLevel="0" collapsed="false">
      <c r="A452" s="26"/>
      <c r="B452" s="25"/>
      <c r="C452" s="25"/>
      <c r="D452" s="25"/>
      <c r="E452" s="25"/>
      <c r="F452" s="25"/>
      <c r="G452" s="25"/>
      <c r="H452" s="25"/>
      <c r="I452" s="25"/>
      <c r="J452" s="25"/>
    </row>
    <row r="453" customFormat="false" ht="15" hidden="false" customHeight="false" outlineLevel="0" collapsed="false">
      <c r="A453" s="26"/>
      <c r="B453" s="25"/>
      <c r="C453" s="25"/>
      <c r="D453" s="25"/>
      <c r="E453" s="25"/>
      <c r="F453" s="25"/>
      <c r="G453" s="25"/>
      <c r="H453" s="25"/>
      <c r="I453" s="25"/>
      <c r="J453" s="25"/>
    </row>
    <row r="454" customFormat="false" ht="15" hidden="false" customHeight="false" outlineLevel="0" collapsed="false">
      <c r="A454" s="26"/>
      <c r="B454" s="25"/>
      <c r="C454" s="25"/>
      <c r="D454" s="25"/>
      <c r="E454" s="25"/>
      <c r="F454" s="25"/>
      <c r="G454" s="25"/>
      <c r="H454" s="25"/>
      <c r="I454" s="25"/>
      <c r="J454" s="25"/>
    </row>
    <row r="455" customFormat="false" ht="15" hidden="false" customHeight="false" outlineLevel="0" collapsed="false">
      <c r="A455" s="26"/>
      <c r="B455" s="25"/>
      <c r="C455" s="25"/>
      <c r="D455" s="25"/>
      <c r="E455" s="25"/>
      <c r="F455" s="25"/>
      <c r="G455" s="25"/>
      <c r="H455" s="25"/>
      <c r="I455" s="25"/>
      <c r="J455" s="25"/>
    </row>
    <row r="456" customFormat="false" ht="15" hidden="false" customHeight="false" outlineLevel="0" collapsed="false">
      <c r="A456" s="26"/>
      <c r="B456" s="25"/>
      <c r="C456" s="25"/>
      <c r="D456" s="25"/>
      <c r="E456" s="25"/>
      <c r="F456" s="25"/>
      <c r="G456" s="25"/>
      <c r="H456" s="25"/>
      <c r="I456" s="25"/>
      <c r="J456" s="25"/>
    </row>
    <row r="457" customFormat="false" ht="15" hidden="false" customHeight="false" outlineLevel="0" collapsed="false">
      <c r="A457" s="26"/>
      <c r="B457" s="25"/>
      <c r="C457" s="25"/>
      <c r="D457" s="25"/>
      <c r="E457" s="25"/>
      <c r="F457" s="25"/>
      <c r="G457" s="25"/>
      <c r="H457" s="25"/>
      <c r="I457" s="25"/>
      <c r="J457" s="25"/>
    </row>
    <row r="458" customFormat="false" ht="15" hidden="false" customHeight="false" outlineLevel="0" collapsed="false">
      <c r="A458" s="26"/>
      <c r="B458" s="25"/>
      <c r="C458" s="25"/>
      <c r="D458" s="25"/>
      <c r="E458" s="25"/>
      <c r="F458" s="25"/>
      <c r="G458" s="25"/>
      <c r="H458" s="25"/>
      <c r="I458" s="25"/>
      <c r="J458" s="25"/>
    </row>
    <row r="459" customFormat="false" ht="15" hidden="false" customHeight="false" outlineLevel="0" collapsed="false">
      <c r="A459" s="26"/>
      <c r="B459" s="25"/>
      <c r="C459" s="25"/>
      <c r="D459" s="25"/>
      <c r="E459" s="25"/>
      <c r="F459" s="25"/>
      <c r="G459" s="25"/>
      <c r="H459" s="25"/>
      <c r="I459" s="25"/>
      <c r="J459" s="25"/>
    </row>
    <row r="460" customFormat="false" ht="15" hidden="false" customHeight="false" outlineLevel="0" collapsed="false">
      <c r="A460" s="26"/>
      <c r="B460" s="25"/>
      <c r="C460" s="25"/>
      <c r="D460" s="25"/>
      <c r="E460" s="25"/>
      <c r="F460" s="25"/>
      <c r="G460" s="25"/>
      <c r="H460" s="25"/>
      <c r="I460" s="25"/>
      <c r="J460" s="25"/>
    </row>
    <row r="461" customFormat="false" ht="15" hidden="false" customHeight="false" outlineLevel="0" collapsed="false">
      <c r="A461" s="26"/>
      <c r="B461" s="25"/>
      <c r="C461" s="25"/>
      <c r="D461" s="25"/>
      <c r="E461" s="25"/>
      <c r="F461" s="25"/>
      <c r="G461" s="25"/>
      <c r="H461" s="25"/>
      <c r="I461" s="25"/>
      <c r="J461" s="25"/>
    </row>
    <row r="462" customFormat="false" ht="15" hidden="false" customHeight="false" outlineLevel="0" collapsed="false">
      <c r="A462" s="26"/>
      <c r="B462" s="25"/>
      <c r="C462" s="25"/>
      <c r="D462" s="25"/>
      <c r="E462" s="25"/>
      <c r="F462" s="25"/>
      <c r="G462" s="25"/>
      <c r="H462" s="25"/>
      <c r="I462" s="25"/>
      <c r="J462" s="25"/>
    </row>
    <row r="463" customFormat="false" ht="15" hidden="false" customHeight="false" outlineLevel="0" collapsed="false">
      <c r="A463" s="26"/>
      <c r="B463" s="25"/>
      <c r="C463" s="25"/>
      <c r="D463" s="25"/>
      <c r="E463" s="25"/>
      <c r="F463" s="25"/>
      <c r="G463" s="25"/>
      <c r="H463" s="25"/>
      <c r="I463" s="25"/>
      <c r="J463" s="25"/>
    </row>
    <row r="464" customFormat="false" ht="15" hidden="false" customHeight="false" outlineLevel="0" collapsed="false">
      <c r="A464" s="26"/>
      <c r="B464" s="25"/>
      <c r="C464" s="25"/>
      <c r="D464" s="25"/>
      <c r="E464" s="25"/>
      <c r="F464" s="25"/>
      <c r="G464" s="25"/>
      <c r="H464" s="25"/>
      <c r="I464" s="25"/>
      <c r="J464" s="25"/>
    </row>
    <row r="465" customFormat="false" ht="15" hidden="false" customHeight="false" outlineLevel="0" collapsed="false">
      <c r="A465" s="26"/>
      <c r="B465" s="25"/>
      <c r="C465" s="25"/>
      <c r="D465" s="25"/>
      <c r="E465" s="25"/>
      <c r="F465" s="25"/>
      <c r="G465" s="25"/>
      <c r="H465" s="25"/>
      <c r="I465" s="25"/>
      <c r="J465" s="25"/>
    </row>
    <row r="466" customFormat="false" ht="15" hidden="false" customHeight="false" outlineLevel="0" collapsed="false">
      <c r="A466" s="26"/>
      <c r="B466" s="25"/>
      <c r="C466" s="25"/>
      <c r="D466" s="25"/>
      <c r="E466" s="25"/>
      <c r="F466" s="25"/>
      <c r="G466" s="25"/>
      <c r="H466" s="25"/>
      <c r="I466" s="25"/>
      <c r="J466" s="25"/>
    </row>
    <row r="467" customFormat="false" ht="15" hidden="false" customHeight="false" outlineLevel="0" collapsed="false">
      <c r="A467" s="26"/>
      <c r="B467" s="25"/>
      <c r="C467" s="25"/>
      <c r="D467" s="25"/>
      <c r="E467" s="25"/>
      <c r="F467" s="25"/>
      <c r="G467" s="25"/>
      <c r="H467" s="25"/>
      <c r="I467" s="25"/>
      <c r="J467" s="25"/>
    </row>
    <row r="468" customFormat="false" ht="15" hidden="false" customHeight="false" outlineLevel="0" collapsed="false">
      <c r="A468" s="26"/>
      <c r="B468" s="25"/>
      <c r="C468" s="25"/>
      <c r="D468" s="25"/>
      <c r="E468" s="25"/>
      <c r="F468" s="25"/>
      <c r="G468" s="25"/>
      <c r="H468" s="25"/>
      <c r="I468" s="25"/>
      <c r="J468" s="25"/>
    </row>
    <row r="469" customFormat="false" ht="15" hidden="false" customHeight="false" outlineLevel="0" collapsed="false">
      <c r="A469" s="26"/>
      <c r="B469" s="25"/>
      <c r="C469" s="25"/>
      <c r="D469" s="25"/>
      <c r="E469" s="25"/>
      <c r="F469" s="25"/>
      <c r="G469" s="25"/>
      <c r="H469" s="25"/>
      <c r="I469" s="25"/>
      <c r="J469" s="25"/>
    </row>
    <row r="470" customFormat="false" ht="15" hidden="false" customHeight="false" outlineLevel="0" collapsed="false">
      <c r="A470" s="26"/>
      <c r="B470" s="25"/>
      <c r="C470" s="25"/>
      <c r="D470" s="25"/>
      <c r="E470" s="25"/>
      <c r="F470" s="25"/>
      <c r="G470" s="25"/>
      <c r="H470" s="25"/>
      <c r="I470" s="25"/>
      <c r="J470" s="25"/>
    </row>
    <row r="471" customFormat="false" ht="15" hidden="false" customHeight="false" outlineLevel="0" collapsed="false">
      <c r="A471" s="26"/>
      <c r="B471" s="25"/>
      <c r="C471" s="25"/>
      <c r="D471" s="25"/>
      <c r="E471" s="25"/>
      <c r="F471" s="25"/>
      <c r="G471" s="25"/>
      <c r="H471" s="25"/>
      <c r="I471" s="25"/>
      <c r="J471" s="25"/>
    </row>
    <row r="472" customFormat="false" ht="15" hidden="false" customHeight="false" outlineLevel="0" collapsed="false">
      <c r="A472" s="26"/>
      <c r="B472" s="25"/>
      <c r="C472" s="25"/>
      <c r="D472" s="25"/>
      <c r="E472" s="25"/>
      <c r="F472" s="25"/>
      <c r="G472" s="25"/>
      <c r="H472" s="25"/>
      <c r="I472" s="25"/>
      <c r="J472" s="25"/>
    </row>
    <row r="473" customFormat="false" ht="15" hidden="false" customHeight="false" outlineLevel="0" collapsed="false">
      <c r="A473" s="26"/>
      <c r="B473" s="25"/>
      <c r="C473" s="25"/>
      <c r="D473" s="25"/>
      <c r="E473" s="25"/>
      <c r="F473" s="25"/>
      <c r="G473" s="25"/>
      <c r="H473" s="25"/>
      <c r="I473" s="25"/>
      <c r="J473" s="25"/>
    </row>
    <row r="474" customFormat="false" ht="15" hidden="false" customHeight="false" outlineLevel="0" collapsed="false">
      <c r="A474" s="26"/>
      <c r="B474" s="25"/>
      <c r="C474" s="25"/>
      <c r="D474" s="25"/>
      <c r="E474" s="25"/>
      <c r="F474" s="25"/>
      <c r="G474" s="25"/>
      <c r="H474" s="25"/>
      <c r="I474" s="25"/>
      <c r="J474" s="25"/>
    </row>
    <row r="475" customFormat="false" ht="15" hidden="false" customHeight="false" outlineLevel="0" collapsed="false">
      <c r="A475" s="26"/>
      <c r="B475" s="25"/>
      <c r="C475" s="25"/>
      <c r="D475" s="25"/>
      <c r="E475" s="25"/>
      <c r="F475" s="25"/>
      <c r="G475" s="25"/>
      <c r="H475" s="25"/>
      <c r="I475" s="25"/>
      <c r="J475" s="25"/>
    </row>
    <row r="476" customFormat="false" ht="15" hidden="false" customHeight="false" outlineLevel="0" collapsed="false">
      <c r="A476" s="26"/>
      <c r="B476" s="25"/>
      <c r="C476" s="25"/>
      <c r="D476" s="25"/>
      <c r="E476" s="25"/>
      <c r="F476" s="25"/>
      <c r="G476" s="25"/>
      <c r="H476" s="25"/>
      <c r="I476" s="25"/>
      <c r="J476" s="25"/>
    </row>
    <row r="477" customFormat="false" ht="15" hidden="false" customHeight="false" outlineLevel="0" collapsed="false">
      <c r="A477" s="26"/>
      <c r="B477" s="25"/>
      <c r="C477" s="25"/>
      <c r="D477" s="25"/>
      <c r="E477" s="25"/>
      <c r="F477" s="25"/>
      <c r="G477" s="25"/>
      <c r="H477" s="25"/>
      <c r="I477" s="25"/>
      <c r="J477" s="25"/>
    </row>
    <row r="478" customFormat="false" ht="15" hidden="false" customHeight="false" outlineLevel="0" collapsed="false">
      <c r="A478" s="26"/>
      <c r="B478" s="25"/>
      <c r="C478" s="25"/>
      <c r="D478" s="25"/>
      <c r="E478" s="25"/>
      <c r="F478" s="25"/>
      <c r="G478" s="25"/>
      <c r="H478" s="25"/>
      <c r="I478" s="25"/>
      <c r="J478" s="25"/>
    </row>
    <row r="479" customFormat="false" ht="15" hidden="false" customHeight="false" outlineLevel="0" collapsed="false">
      <c r="A479" s="26"/>
      <c r="B479" s="25"/>
      <c r="C479" s="25"/>
      <c r="D479" s="25"/>
      <c r="E479" s="25"/>
      <c r="F479" s="25"/>
      <c r="G479" s="25"/>
      <c r="H479" s="25"/>
      <c r="I479" s="25"/>
      <c r="J479" s="25"/>
    </row>
    <row r="480" customFormat="false" ht="15" hidden="false" customHeight="false" outlineLevel="0" collapsed="false">
      <c r="A480" s="26"/>
      <c r="B480" s="25"/>
      <c r="C480" s="25"/>
      <c r="D480" s="25"/>
      <c r="E480" s="25"/>
      <c r="F480" s="25"/>
      <c r="G480" s="25"/>
      <c r="H480" s="25"/>
      <c r="I480" s="25"/>
      <c r="J480" s="25"/>
    </row>
    <row r="481" customFormat="false" ht="15" hidden="false" customHeight="false" outlineLevel="0" collapsed="false">
      <c r="A481" s="26"/>
      <c r="B481" s="25"/>
      <c r="C481" s="25"/>
      <c r="D481" s="25"/>
      <c r="E481" s="25"/>
      <c r="F481" s="25"/>
      <c r="G481" s="25"/>
      <c r="H481" s="25"/>
      <c r="I481" s="25"/>
      <c r="J481" s="25"/>
    </row>
    <row r="482" customFormat="false" ht="15" hidden="false" customHeight="false" outlineLevel="0" collapsed="false">
      <c r="A482" s="26"/>
      <c r="B482" s="25"/>
      <c r="C482" s="25"/>
      <c r="D482" s="25"/>
      <c r="E482" s="25"/>
      <c r="F482" s="25"/>
      <c r="G482" s="25"/>
      <c r="H482" s="25"/>
      <c r="I482" s="25"/>
      <c r="J482" s="25"/>
    </row>
    <row r="483" customFormat="false" ht="15" hidden="false" customHeight="false" outlineLevel="0" collapsed="false">
      <c r="A483" s="26"/>
      <c r="B483" s="25"/>
      <c r="C483" s="25"/>
      <c r="D483" s="25"/>
      <c r="E483" s="25"/>
      <c r="F483" s="25"/>
      <c r="G483" s="25"/>
      <c r="H483" s="25"/>
      <c r="I483" s="25"/>
      <c r="J483" s="25"/>
    </row>
    <row r="484" customFormat="false" ht="15" hidden="false" customHeight="false" outlineLevel="0" collapsed="false">
      <c r="A484" s="26"/>
      <c r="B484" s="25"/>
      <c r="C484" s="25"/>
      <c r="D484" s="25"/>
      <c r="E484" s="25"/>
      <c r="F484" s="25"/>
      <c r="G484" s="25"/>
      <c r="H484" s="25"/>
      <c r="I484" s="25"/>
      <c r="J484" s="25"/>
    </row>
    <row r="485" customFormat="false" ht="15" hidden="false" customHeight="false" outlineLevel="0" collapsed="false">
      <c r="A485" s="26"/>
      <c r="B485" s="25"/>
      <c r="C485" s="25"/>
      <c r="D485" s="25"/>
      <c r="E485" s="25"/>
      <c r="F485" s="25"/>
      <c r="G485" s="25"/>
      <c r="H485" s="25"/>
      <c r="I485" s="25"/>
      <c r="J485" s="25"/>
    </row>
    <row r="486" customFormat="false" ht="15" hidden="false" customHeight="false" outlineLevel="0" collapsed="false">
      <c r="A486" s="26"/>
      <c r="B486" s="25"/>
      <c r="C486" s="25"/>
      <c r="D486" s="25"/>
      <c r="E486" s="25"/>
      <c r="F486" s="25"/>
      <c r="G486" s="25"/>
      <c r="H486" s="25"/>
      <c r="I486" s="25"/>
      <c r="J486" s="25"/>
    </row>
    <row r="487" customFormat="false" ht="15" hidden="false" customHeight="false" outlineLevel="0" collapsed="false">
      <c r="A487" s="26"/>
      <c r="B487" s="25"/>
      <c r="C487" s="25"/>
      <c r="D487" s="25"/>
      <c r="E487" s="25"/>
      <c r="F487" s="25"/>
      <c r="G487" s="25"/>
      <c r="H487" s="25"/>
      <c r="I487" s="25"/>
      <c r="J487" s="25"/>
    </row>
    <row r="488" customFormat="false" ht="15" hidden="false" customHeight="false" outlineLevel="0" collapsed="false">
      <c r="A488" s="26"/>
      <c r="B488" s="25"/>
      <c r="C488" s="25"/>
      <c r="D488" s="25"/>
      <c r="E488" s="25"/>
      <c r="F488" s="25"/>
      <c r="G488" s="25"/>
      <c r="H488" s="25"/>
      <c r="I488" s="25"/>
      <c r="J488" s="25"/>
    </row>
    <row r="489" customFormat="false" ht="15" hidden="false" customHeight="false" outlineLevel="0" collapsed="false">
      <c r="A489" s="26"/>
      <c r="B489" s="25"/>
      <c r="C489" s="25"/>
      <c r="D489" s="25"/>
      <c r="E489" s="25"/>
      <c r="F489" s="25"/>
      <c r="G489" s="25"/>
      <c r="H489" s="25"/>
      <c r="I489" s="25"/>
      <c r="J489" s="25"/>
    </row>
    <row r="490" customFormat="false" ht="15" hidden="false" customHeight="false" outlineLevel="0" collapsed="false">
      <c r="A490" s="26"/>
      <c r="B490" s="25"/>
      <c r="C490" s="25"/>
      <c r="D490" s="25"/>
      <c r="E490" s="25"/>
      <c r="F490" s="25"/>
      <c r="G490" s="25"/>
      <c r="H490" s="25"/>
      <c r="I490" s="25"/>
      <c r="J490" s="25"/>
    </row>
    <row r="491" customFormat="false" ht="15" hidden="false" customHeight="false" outlineLevel="0" collapsed="false">
      <c r="A491" s="26"/>
      <c r="B491" s="25"/>
      <c r="C491" s="25"/>
      <c r="D491" s="25"/>
      <c r="E491" s="25"/>
      <c r="F491" s="25"/>
      <c r="G491" s="25"/>
      <c r="H491" s="25"/>
      <c r="I491" s="25"/>
      <c r="J491" s="25"/>
    </row>
    <row r="492" customFormat="false" ht="15" hidden="false" customHeight="false" outlineLevel="0" collapsed="false">
      <c r="A492" s="26"/>
      <c r="B492" s="25"/>
      <c r="C492" s="25"/>
      <c r="D492" s="25"/>
      <c r="E492" s="25"/>
      <c r="F492" s="25"/>
      <c r="G492" s="25"/>
      <c r="H492" s="25"/>
      <c r="I492" s="25"/>
      <c r="J492" s="25"/>
    </row>
    <row r="493" customFormat="false" ht="15" hidden="false" customHeight="false" outlineLevel="0" collapsed="false">
      <c r="A493" s="26"/>
      <c r="B493" s="25"/>
      <c r="C493" s="25"/>
      <c r="D493" s="25"/>
      <c r="E493" s="25"/>
      <c r="F493" s="25"/>
      <c r="G493" s="25"/>
      <c r="H493" s="25"/>
      <c r="I493" s="25"/>
      <c r="J493" s="25"/>
    </row>
    <row r="494" customFormat="false" ht="15" hidden="false" customHeight="false" outlineLevel="0" collapsed="false">
      <c r="A494" s="26"/>
      <c r="B494" s="25"/>
      <c r="C494" s="25"/>
      <c r="D494" s="25"/>
      <c r="E494" s="25"/>
      <c r="F494" s="25"/>
      <c r="G494" s="25"/>
      <c r="H494" s="25"/>
      <c r="I494" s="25"/>
      <c r="J494" s="25"/>
    </row>
    <row r="495" customFormat="false" ht="15" hidden="false" customHeight="false" outlineLevel="0" collapsed="false">
      <c r="A495" s="26"/>
      <c r="B495" s="25"/>
      <c r="C495" s="25"/>
      <c r="D495" s="25"/>
      <c r="E495" s="25"/>
      <c r="F495" s="25"/>
      <c r="G495" s="25"/>
      <c r="H495" s="25"/>
      <c r="I495" s="25"/>
      <c r="J495" s="25"/>
    </row>
    <row r="496" customFormat="false" ht="15" hidden="false" customHeight="false" outlineLevel="0" collapsed="false">
      <c r="A496" s="26"/>
      <c r="B496" s="25"/>
      <c r="C496" s="25"/>
      <c r="D496" s="25"/>
      <c r="E496" s="25"/>
      <c r="F496" s="25"/>
      <c r="G496" s="25"/>
      <c r="H496" s="25"/>
      <c r="I496" s="25"/>
      <c r="J496" s="25"/>
    </row>
    <row r="497" customFormat="false" ht="15" hidden="false" customHeight="false" outlineLevel="0" collapsed="false">
      <c r="A497" s="26"/>
      <c r="B497" s="25"/>
      <c r="C497" s="25"/>
      <c r="D497" s="25"/>
      <c r="E497" s="25"/>
      <c r="F497" s="25"/>
      <c r="G497" s="25"/>
      <c r="H497" s="25"/>
      <c r="I497" s="25"/>
      <c r="J497" s="25"/>
    </row>
    <row r="498" customFormat="false" ht="15" hidden="false" customHeight="false" outlineLevel="0" collapsed="false">
      <c r="A498" s="26"/>
      <c r="B498" s="25"/>
      <c r="C498" s="25"/>
      <c r="D498" s="25"/>
      <c r="E498" s="25"/>
      <c r="F498" s="25"/>
      <c r="G498" s="25"/>
      <c r="H498" s="25"/>
      <c r="I498" s="25"/>
      <c r="J498" s="25"/>
    </row>
    <row r="499" customFormat="false" ht="15" hidden="false" customHeight="false" outlineLevel="0" collapsed="false">
      <c r="A499" s="26"/>
      <c r="B499" s="25"/>
      <c r="C499" s="25"/>
      <c r="D499" s="25"/>
      <c r="E499" s="25"/>
      <c r="F499" s="25"/>
      <c r="G499" s="25"/>
      <c r="H499" s="25"/>
      <c r="I499" s="25"/>
      <c r="J499" s="25"/>
    </row>
    <row r="500" customFormat="false" ht="15" hidden="false" customHeight="false" outlineLevel="0" collapsed="false">
      <c r="A500" s="26"/>
      <c r="B500" s="25"/>
      <c r="C500" s="25"/>
      <c r="D500" s="25"/>
      <c r="E500" s="25"/>
      <c r="F500" s="25"/>
      <c r="G500" s="25"/>
      <c r="H500" s="25"/>
      <c r="I500" s="25"/>
      <c r="J500" s="25"/>
    </row>
    <row r="501" customFormat="false" ht="15" hidden="false" customHeight="false" outlineLevel="0" collapsed="false">
      <c r="A501" s="26"/>
      <c r="B501" s="25"/>
      <c r="C501" s="25"/>
      <c r="D501" s="25"/>
      <c r="E501" s="25"/>
      <c r="F501" s="25"/>
      <c r="G501" s="25"/>
      <c r="H501" s="25"/>
      <c r="I501" s="25"/>
      <c r="J501" s="25"/>
    </row>
    <row r="502" customFormat="false" ht="15" hidden="false" customHeight="false" outlineLevel="0" collapsed="false">
      <c r="A502" s="26"/>
      <c r="B502" s="25"/>
      <c r="C502" s="25"/>
      <c r="D502" s="25"/>
      <c r="E502" s="25"/>
      <c r="F502" s="25"/>
      <c r="G502" s="25"/>
      <c r="H502" s="25"/>
      <c r="I502" s="25"/>
      <c r="J502" s="25"/>
    </row>
    <row r="503" customFormat="false" ht="15" hidden="false" customHeight="false" outlineLevel="0" collapsed="false">
      <c r="A503" s="26"/>
      <c r="B503" s="25"/>
      <c r="C503" s="25"/>
      <c r="D503" s="25"/>
      <c r="E503" s="25"/>
      <c r="F503" s="25"/>
      <c r="G503" s="25"/>
      <c r="H503" s="25"/>
      <c r="I503" s="25"/>
      <c r="J503" s="25"/>
    </row>
    <row r="504" customFormat="false" ht="15" hidden="false" customHeight="false" outlineLevel="0" collapsed="false">
      <c r="A504" s="26"/>
      <c r="B504" s="25"/>
      <c r="C504" s="25"/>
      <c r="D504" s="25"/>
      <c r="E504" s="25"/>
      <c r="F504" s="25"/>
      <c r="G504" s="25"/>
      <c r="H504" s="25"/>
      <c r="I504" s="25"/>
      <c r="J504" s="25"/>
    </row>
  </sheetData>
  <autoFilter ref="A4:J504"/>
  <conditionalFormatting sqref="I5:I504">
    <cfRule type="cellIs" priority="2" operator="equal" aboveAverage="0" equalAverage="0" bottom="0" percent="0" rank="0" text="" dxfId="18">
      <formula>"Success"</formula>
    </cfRule>
    <cfRule type="cellIs" priority="3" operator="notEqual" aboveAverage="0" equalAverage="0" bottom="0" percent="0" rank="0" text="" dxfId="22">
      <formula>"Success"</formula>
    </cfRule>
    <cfRule type="cellIs" priority="4" operator="equal" aboveAverage="0" equalAverage="0" bottom="0" percent="0" rank="0" text="" dxfId="25">
      <formula>""</formula>
    </cfRule>
  </conditionalFormatting>
  <conditionalFormatting sqref="E5:E504">
    <cfRule type="cellIs" priority="5" operator="equal" aboveAverage="0" equalAverage="0" bottom="0" percent="0" rank="0" text="" dxfId="5">
      <formula>"PROD"</formula>
    </cfRule>
  </conditionalFormatting>
  <dataValidations count="4">
    <dataValidation allowBlank="true" error="Pick a value from the dropdown (edit the Lists sheet to add new ones)." errorStyle="stop" errorTitle="Invalid entry" operator="between" showDropDown="false" showErrorMessage="true" showInputMessage="false" sqref="B5:B504" type="list">
      <formula1>Projects!$A$5:$A$204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E5:E504" type="list">
      <formula1>Lists!$F$4:$F$8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G5:G504" type="list">
      <formula1>Team!$A$5:$A$54</formula1>
      <formula2>0</formula2>
    </dataValidation>
    <dataValidation allowBlank="true" error="Pick a value from the dropdown (edit the Lists sheet to add new ones)." errorStyle="stop" errorTitle="Invalid entry" operator="between" showDropDown="false" showErrorMessage="true" showInputMessage="false" sqref="I5:I504" type="list">
      <formula1>Lists!$H$4:$H$6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  <col collapsed="false" customWidth="true" hidden="false" outlineLevel="0" max="10" min="10" style="0" width="4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" t="s">
        <v>226</v>
      </c>
    </row>
    <row r="3" customFormat="false" ht="15" hidden="false" customHeight="false" outlineLevel="0" collapsed="false">
      <c r="A3" s="31" t="s">
        <v>227</v>
      </c>
      <c r="B3" s="31" t="s">
        <v>94</v>
      </c>
      <c r="C3" s="31" t="s">
        <v>228</v>
      </c>
      <c r="D3" s="31" t="s">
        <v>229</v>
      </c>
      <c r="E3" s="31" t="s">
        <v>230</v>
      </c>
      <c r="F3" s="31" t="s">
        <v>207</v>
      </c>
      <c r="G3" s="31" t="s">
        <v>84</v>
      </c>
      <c r="H3" s="31" t="s">
        <v>231</v>
      </c>
      <c r="J3" s="31" t="s">
        <v>232</v>
      </c>
      <c r="K3" s="31" t="s">
        <v>233</v>
      </c>
    </row>
    <row r="4" customFormat="false" ht="15" hidden="false" customHeight="false" outlineLevel="0" collapsed="false">
      <c r="A4" s="32" t="s">
        <v>61</v>
      </c>
      <c r="B4" s="32" t="s">
        <v>111</v>
      </c>
      <c r="C4" s="32" t="s">
        <v>60</v>
      </c>
      <c r="D4" s="32" t="s">
        <v>102</v>
      </c>
      <c r="E4" s="32" t="s">
        <v>169</v>
      </c>
      <c r="F4" s="32" t="s">
        <v>234</v>
      </c>
      <c r="G4" s="32" t="s">
        <v>54</v>
      </c>
      <c r="H4" s="32" t="s">
        <v>217</v>
      </c>
      <c r="J4" s="32" t="s">
        <v>235</v>
      </c>
      <c r="K4" s="33" t="s">
        <v>104</v>
      </c>
    </row>
    <row r="5" customFormat="false" ht="15" hidden="false" customHeight="false" outlineLevel="0" collapsed="false">
      <c r="A5" s="32" t="s">
        <v>62</v>
      </c>
      <c r="B5" s="32" t="s">
        <v>103</v>
      </c>
      <c r="C5" s="32" t="s">
        <v>62</v>
      </c>
      <c r="D5" s="32" t="s">
        <v>116</v>
      </c>
      <c r="E5" s="32" t="s">
        <v>147</v>
      </c>
      <c r="F5" s="32" t="s">
        <v>214</v>
      </c>
      <c r="G5" s="32" t="s">
        <v>55</v>
      </c>
      <c r="H5" s="32" t="s">
        <v>224</v>
      </c>
      <c r="J5" s="32" t="s">
        <v>236</v>
      </c>
      <c r="K5" s="33" t="n">
        <v>7</v>
      </c>
    </row>
    <row r="6" customFormat="false" ht="15" hidden="false" customHeight="false" outlineLevel="0" collapsed="false">
      <c r="A6" s="32" t="s">
        <v>63</v>
      </c>
      <c r="B6" s="32" t="s">
        <v>117</v>
      </c>
      <c r="C6" s="32" t="s">
        <v>63</v>
      </c>
      <c r="D6" s="32" t="s">
        <v>124</v>
      </c>
      <c r="E6" s="32" t="s">
        <v>143</v>
      </c>
      <c r="F6" s="32" t="s">
        <v>64</v>
      </c>
      <c r="G6" s="32" t="s">
        <v>56</v>
      </c>
      <c r="H6" s="32" t="s">
        <v>237</v>
      </c>
    </row>
    <row r="7" customFormat="false" ht="15" hidden="false" customHeight="false" outlineLevel="0" collapsed="false">
      <c r="A7" s="32" t="s">
        <v>65</v>
      </c>
      <c r="B7" s="32" t="s">
        <v>238</v>
      </c>
      <c r="C7" s="32" t="s">
        <v>64</v>
      </c>
      <c r="D7" s="32" t="s">
        <v>110</v>
      </c>
      <c r="E7" s="32" t="s">
        <v>155</v>
      </c>
      <c r="F7" s="32" t="s">
        <v>239</v>
      </c>
    </row>
    <row r="8" customFormat="false" ht="15" hidden="false" customHeight="false" outlineLevel="0" collapsed="false">
      <c r="A8" s="32" t="s">
        <v>67</v>
      </c>
      <c r="C8" s="32" t="s">
        <v>66</v>
      </c>
      <c r="D8" s="32" t="s">
        <v>240</v>
      </c>
      <c r="E8" s="32" t="s">
        <v>159</v>
      </c>
      <c r="F8" s="32" t="s">
        <v>241</v>
      </c>
    </row>
    <row r="9" customFormat="false" ht="15" hidden="false" customHeight="false" outlineLevel="0" collapsed="false">
      <c r="A9" s="32" t="s">
        <v>69</v>
      </c>
      <c r="C9" s="32" t="s">
        <v>68</v>
      </c>
      <c r="E9" s="32" t="s">
        <v>166</v>
      </c>
    </row>
    <row r="10" customFormat="false" ht="15" hidden="false" customHeight="false" outlineLevel="0" collapsed="false">
      <c r="E10" s="32" t="s">
        <v>172</v>
      </c>
    </row>
    <row r="11" customFormat="false" ht="15" hidden="false" customHeight="false" outlineLevel="0" collapsed="false">
      <c r="E11" s="3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2026-09-14T09:11:49Z</dcterms:created>
  <dc:creator>openpyxl</dc:creator>
  <dc:description/>
  <dc:language>en-US</dc:language>
  <cp:lastModifiedBy/>
  <dcterms:modified xsi:type="dcterms:W3CDTF">2026-09-14T09:11:50Z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